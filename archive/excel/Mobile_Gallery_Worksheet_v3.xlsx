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PROJ\Mobile Gallery\"/>
    </mc:Choice>
  </mc:AlternateContent>
  <xr:revisionPtr revIDLastSave="0" documentId="13_ncr:1_{4AAC07C7-D982-44E8-9E51-2148C8D9D18F}" xr6:coauthVersionLast="47" xr6:coauthVersionMax="47" xr10:uidLastSave="{00000000-0000-0000-0000-000000000000}"/>
  <bookViews>
    <workbookView xWindow="-120" yWindow="-120" windowWidth="29040" windowHeight="15720" xr2:uid="{00000000-000D-0000-FFFF-FFFF00000000}"/>
  </bookViews>
  <sheets>
    <sheet name="Instructions" sheetId="1" r:id="rId1"/>
    <sheet name="Master" sheetId="2" r:id="rId2"/>
    <sheet name="Purchase List" sheetId="3" r:id="rId3"/>
    <sheet name="Price Quote" sheetId="4" r:id="rId4"/>
  </sheets>
  <definedNames>
    <definedName name="_xlnm.Print_Area" localSheetId="3">'Price Quote'!$A$1:$D$34</definedName>
    <definedName name="_xlnm.Print_Area" localSheetId="2">'Purchase List'!$A$1:$P$64</definedName>
    <definedName name="_xlnm.Print_Titles" localSheetId="3">'Price Quote'!$1:$4</definedName>
    <definedName name="_xlnm.Print_Titles" localSheetId="2">'Purchase List'!$1:$4</definedName>
  </definedNames>
  <calcPr calcId="191029"/>
</workbook>
</file>

<file path=xl/calcChain.xml><?xml version="1.0" encoding="utf-8"?>
<calcChain xmlns="http://schemas.openxmlformats.org/spreadsheetml/2006/main">
  <c r="G196" i="4" l="1"/>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F96" i="4"/>
  <c r="G95" i="4"/>
  <c r="F95" i="4"/>
  <c r="G94" i="4"/>
  <c r="F94" i="4"/>
  <c r="G93" i="4"/>
  <c r="F93" i="4"/>
  <c r="G92" i="4"/>
  <c r="F92" i="4"/>
  <c r="G91" i="4"/>
  <c r="F91" i="4"/>
  <c r="G90" i="4"/>
  <c r="F90" i="4"/>
  <c r="G89" i="4"/>
  <c r="F89" i="4"/>
  <c r="G88" i="4"/>
  <c r="F88" i="4"/>
  <c r="G87" i="4"/>
  <c r="F87" i="4"/>
  <c r="G86" i="4"/>
  <c r="F86" i="4"/>
  <c r="G85" i="4"/>
  <c r="F85" i="4"/>
  <c r="G84" i="4"/>
  <c r="F84" i="4"/>
  <c r="G83" i="4"/>
  <c r="F83" i="4"/>
  <c r="G82" i="4"/>
  <c r="F82" i="4"/>
  <c r="G81" i="4"/>
  <c r="F81" i="4"/>
  <c r="G80" i="4"/>
  <c r="F80" i="4"/>
  <c r="G79" i="4"/>
  <c r="F79" i="4"/>
  <c r="G78" i="4"/>
  <c r="F78" i="4"/>
  <c r="G77" i="4"/>
  <c r="F77" i="4"/>
  <c r="G76" i="4"/>
  <c r="F76" i="4"/>
  <c r="G75" i="4"/>
  <c r="F75" i="4"/>
  <c r="G74" i="4"/>
  <c r="F74" i="4"/>
  <c r="G73" i="4"/>
  <c r="F73" i="4"/>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H36" i="4"/>
  <c r="G36" i="4"/>
  <c r="F36" i="4"/>
  <c r="H35" i="4"/>
  <c r="G35" i="4"/>
  <c r="F35" i="4"/>
  <c r="H34" i="4"/>
  <c r="G34" i="4"/>
  <c r="F34" i="4"/>
  <c r="D34" i="4"/>
  <c r="C34" i="4"/>
  <c r="H33" i="4"/>
  <c r="G33" i="4"/>
  <c r="F33" i="4"/>
  <c r="D33" i="4"/>
  <c r="C33" i="4"/>
  <c r="H32" i="4"/>
  <c r="G32" i="4"/>
  <c r="F32" i="4"/>
  <c r="D32" i="4"/>
  <c r="C32" i="4"/>
  <c r="H31" i="4"/>
  <c r="G31" i="4"/>
  <c r="F31" i="4"/>
  <c r="D31" i="4"/>
  <c r="C31" i="4"/>
  <c r="H30" i="4"/>
  <c r="G30" i="4"/>
  <c r="F30" i="4"/>
  <c r="D30" i="4"/>
  <c r="C30" i="4"/>
  <c r="H29" i="4"/>
  <c r="G29" i="4"/>
  <c r="F29" i="4"/>
  <c r="D29" i="4"/>
  <c r="C29" i="4"/>
  <c r="H28" i="4"/>
  <c r="G28" i="4"/>
  <c r="F28" i="4"/>
  <c r="D28" i="4"/>
  <c r="C28" i="4"/>
  <c r="H27" i="4"/>
  <c r="G27" i="4"/>
  <c r="F27" i="4"/>
  <c r="D27" i="4"/>
  <c r="C27" i="4"/>
  <c r="H26" i="4"/>
  <c r="G26" i="4"/>
  <c r="F26" i="4"/>
  <c r="D26" i="4"/>
  <c r="C26" i="4"/>
  <c r="H25" i="4"/>
  <c r="G25" i="4"/>
  <c r="F25" i="4"/>
  <c r="D25" i="4"/>
  <c r="C25" i="4"/>
  <c r="H24" i="4"/>
  <c r="G24" i="4"/>
  <c r="F24" i="4"/>
  <c r="D24" i="4"/>
  <c r="C24" i="4"/>
  <c r="H23" i="4"/>
  <c r="G23" i="4"/>
  <c r="F23" i="4"/>
  <c r="D23" i="4"/>
  <c r="C23" i="4"/>
  <c r="H22" i="4"/>
  <c r="G22" i="4"/>
  <c r="F22" i="4"/>
  <c r="D22" i="4"/>
  <c r="C22" i="4"/>
  <c r="H21" i="4"/>
  <c r="G21" i="4"/>
  <c r="F21" i="4"/>
  <c r="D21" i="4"/>
  <c r="C21" i="4"/>
  <c r="H20" i="4"/>
  <c r="G20" i="4"/>
  <c r="F20" i="4"/>
  <c r="D20" i="4"/>
  <c r="C20" i="4"/>
  <c r="H19" i="4"/>
  <c r="G19" i="4"/>
  <c r="F19" i="4"/>
  <c r="D19" i="4"/>
  <c r="C19" i="4"/>
  <c r="H18" i="4"/>
  <c r="G18" i="4"/>
  <c r="F18" i="4"/>
  <c r="D18" i="4"/>
  <c r="C18" i="4"/>
  <c r="H17" i="4"/>
  <c r="G17" i="4"/>
  <c r="F17" i="4"/>
  <c r="D17" i="4"/>
  <c r="C17" i="4"/>
  <c r="H16" i="4"/>
  <c r="G16" i="4"/>
  <c r="F16" i="4"/>
  <c r="D16" i="4"/>
  <c r="C16" i="4"/>
  <c r="H15" i="4"/>
  <c r="G15" i="4"/>
  <c r="F15" i="4"/>
  <c r="D15" i="4"/>
  <c r="C15" i="4"/>
  <c r="H14" i="4"/>
  <c r="G14" i="4"/>
  <c r="F14" i="4"/>
  <c r="D14" i="4"/>
  <c r="C14" i="4"/>
  <c r="H13" i="4"/>
  <c r="G13" i="4"/>
  <c r="F13" i="4"/>
  <c r="D13" i="4"/>
  <c r="C13" i="4"/>
  <c r="H12" i="4"/>
  <c r="G12" i="4"/>
  <c r="F12" i="4"/>
  <c r="D12" i="4"/>
  <c r="C12" i="4"/>
  <c r="H11" i="4"/>
  <c r="G11" i="4"/>
  <c r="F11" i="4"/>
  <c r="D11" i="4"/>
  <c r="C11" i="4"/>
  <c r="H10" i="4"/>
  <c r="G10" i="4"/>
  <c r="F10" i="4"/>
  <c r="D10" i="4"/>
  <c r="C10" i="4"/>
  <c r="H9" i="4"/>
  <c r="G9" i="4"/>
  <c r="F9" i="4"/>
  <c r="D9" i="4"/>
  <c r="C9" i="4"/>
  <c r="H8" i="4"/>
  <c r="G8" i="4"/>
  <c r="F8" i="4"/>
  <c r="D8" i="4"/>
  <c r="C8" i="4"/>
  <c r="H7" i="4"/>
  <c r="G7" i="4"/>
  <c r="F7" i="4"/>
  <c r="D7" i="4"/>
  <c r="C7" i="4"/>
  <c r="H6" i="4"/>
  <c r="G6" i="4"/>
  <c r="F6" i="4"/>
  <c r="D6" i="4"/>
  <c r="C6" i="4"/>
  <c r="H5" i="4"/>
  <c r="G5" i="4"/>
  <c r="F5" i="4"/>
  <c r="D5" i="4"/>
  <c r="C5" i="4"/>
  <c r="H4" i="4"/>
  <c r="G4" i="4"/>
  <c r="F4" i="4"/>
  <c r="H3" i="4"/>
  <c r="G3" i="4"/>
  <c r="F3" i="4"/>
  <c r="H2" i="4"/>
  <c r="G2" i="4"/>
  <c r="F2" i="4"/>
  <c r="H1" i="4"/>
  <c r="G1" i="4"/>
  <c r="F1" i="4"/>
  <c r="R196" i="3"/>
  <c r="R195" i="3"/>
  <c r="R194" i="3"/>
  <c r="R193" i="3"/>
  <c r="R192" i="3"/>
  <c r="R191" i="3"/>
  <c r="R190" i="3"/>
  <c r="R189" i="3"/>
  <c r="R188" i="3"/>
  <c r="R187" i="3"/>
  <c r="R186" i="3"/>
  <c r="R185" i="3"/>
  <c r="R184" i="3"/>
  <c r="R183" i="3"/>
  <c r="R182" i="3"/>
  <c r="R181" i="3"/>
  <c r="R180" i="3"/>
  <c r="R179" i="3"/>
  <c r="R178" i="3"/>
  <c r="R177" i="3"/>
  <c r="R176" i="3"/>
  <c r="R175" i="3"/>
  <c r="R174" i="3"/>
  <c r="R173" i="3"/>
  <c r="R172" i="3"/>
  <c r="R171" i="3"/>
  <c r="R170" i="3"/>
  <c r="R169" i="3"/>
  <c r="R168" i="3"/>
  <c r="R167" i="3"/>
  <c r="R166" i="3"/>
  <c r="R165" i="3"/>
  <c r="R164" i="3"/>
  <c r="R163" i="3"/>
  <c r="R162" i="3"/>
  <c r="R161" i="3"/>
  <c r="R160" i="3"/>
  <c r="R159" i="3"/>
  <c r="R158" i="3"/>
  <c r="R157" i="3"/>
  <c r="R156" i="3"/>
  <c r="R155" i="3"/>
  <c r="R154" i="3"/>
  <c r="R153" i="3"/>
  <c r="R152" i="3"/>
  <c r="R151" i="3"/>
  <c r="R150" i="3"/>
  <c r="R149" i="3"/>
  <c r="R148" i="3"/>
  <c r="R147" i="3"/>
  <c r="R146" i="3"/>
  <c r="R145" i="3"/>
  <c r="R144" i="3"/>
  <c r="R143" i="3"/>
  <c r="R142" i="3"/>
  <c r="R141" i="3"/>
  <c r="R140" i="3"/>
  <c r="R139" i="3"/>
  <c r="R138" i="3"/>
  <c r="R137" i="3"/>
  <c r="R136" i="3"/>
  <c r="R135" i="3"/>
  <c r="R134" i="3"/>
  <c r="R133" i="3"/>
  <c r="R132" i="3"/>
  <c r="R131" i="3"/>
  <c r="R130" i="3"/>
  <c r="R129" i="3"/>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Q96" i="3"/>
  <c r="R95" i="3"/>
  <c r="Q95" i="3"/>
  <c r="R94" i="3"/>
  <c r="Q94" i="3"/>
  <c r="R93" i="3"/>
  <c r="Q93" i="3"/>
  <c r="R92" i="3"/>
  <c r="Q92" i="3"/>
  <c r="R91" i="3"/>
  <c r="Q91" i="3"/>
  <c r="R90" i="3"/>
  <c r="Q90" i="3"/>
  <c r="R89" i="3"/>
  <c r="Q89" i="3"/>
  <c r="R88" i="3"/>
  <c r="Q88" i="3"/>
  <c r="R87" i="3"/>
  <c r="Q87" i="3"/>
  <c r="R86" i="3"/>
  <c r="Q86" i="3"/>
  <c r="R85" i="3"/>
  <c r="Q85" i="3"/>
  <c r="R84" i="3"/>
  <c r="Q84" i="3"/>
  <c r="R83" i="3"/>
  <c r="Q83" i="3"/>
  <c r="R82" i="3"/>
  <c r="Q82" i="3"/>
  <c r="R81" i="3"/>
  <c r="Q81" i="3"/>
  <c r="R80" i="3"/>
  <c r="Q80" i="3"/>
  <c r="R79" i="3"/>
  <c r="Q79" i="3"/>
  <c r="R78" i="3"/>
  <c r="Q78" i="3"/>
  <c r="R77" i="3"/>
  <c r="Q77" i="3"/>
  <c r="R76" i="3"/>
  <c r="Q76" i="3"/>
  <c r="R75" i="3"/>
  <c r="Q75" i="3"/>
  <c r="R74" i="3"/>
  <c r="Q74" i="3"/>
  <c r="R73" i="3"/>
  <c r="Q73" i="3"/>
  <c r="R72" i="3"/>
  <c r="Q72" i="3"/>
  <c r="R71" i="3"/>
  <c r="Q71" i="3"/>
  <c r="R70" i="3"/>
  <c r="Q70" i="3"/>
  <c r="R69" i="3"/>
  <c r="Q69" i="3"/>
  <c r="R68" i="3"/>
  <c r="Q68" i="3"/>
  <c r="R67" i="3"/>
  <c r="Q67" i="3"/>
  <c r="R66" i="3"/>
  <c r="Q66" i="3"/>
  <c r="R65" i="3"/>
  <c r="Q65" i="3"/>
  <c r="R64" i="3"/>
  <c r="Q64" i="3"/>
  <c r="P64" i="3"/>
  <c r="C64" i="3"/>
  <c r="R63" i="3"/>
  <c r="Q63" i="3"/>
  <c r="P63" i="3"/>
  <c r="C63" i="3"/>
  <c r="R62" i="3"/>
  <c r="Q62" i="3"/>
  <c r="P62" i="3"/>
  <c r="C62" i="3"/>
  <c r="R61" i="3"/>
  <c r="Q61" i="3"/>
  <c r="P61" i="3"/>
  <c r="C61" i="3"/>
  <c r="R60" i="3"/>
  <c r="Q60" i="3"/>
  <c r="P60" i="3"/>
  <c r="C60" i="3"/>
  <c r="R59" i="3"/>
  <c r="Q59" i="3"/>
  <c r="P59" i="3"/>
  <c r="C59" i="3"/>
  <c r="R58" i="3"/>
  <c r="Q58" i="3"/>
  <c r="P58" i="3"/>
  <c r="C58" i="3"/>
  <c r="R57" i="3"/>
  <c r="Q57" i="3"/>
  <c r="P57" i="3"/>
  <c r="C57" i="3"/>
  <c r="R56" i="3"/>
  <c r="Q56" i="3"/>
  <c r="P56" i="3"/>
  <c r="C56" i="3"/>
  <c r="R55" i="3"/>
  <c r="Q55" i="3"/>
  <c r="P55" i="3"/>
  <c r="C55" i="3"/>
  <c r="R54" i="3"/>
  <c r="Q54" i="3"/>
  <c r="P54" i="3"/>
  <c r="C54" i="3"/>
  <c r="R53" i="3"/>
  <c r="Q53" i="3"/>
  <c r="P53" i="3"/>
  <c r="C53" i="3"/>
  <c r="R52" i="3"/>
  <c r="Q52" i="3"/>
  <c r="P52" i="3"/>
  <c r="C52" i="3"/>
  <c r="R51" i="3"/>
  <c r="Q51" i="3"/>
  <c r="P51" i="3"/>
  <c r="C51" i="3"/>
  <c r="R50" i="3"/>
  <c r="Q50" i="3"/>
  <c r="P50" i="3"/>
  <c r="C50" i="3"/>
  <c r="R49" i="3"/>
  <c r="Q49" i="3"/>
  <c r="P49" i="3"/>
  <c r="C49" i="3"/>
  <c r="R48" i="3"/>
  <c r="Q48" i="3"/>
  <c r="P48" i="3"/>
  <c r="C48" i="3"/>
  <c r="R47" i="3"/>
  <c r="Q47" i="3"/>
  <c r="P47" i="3"/>
  <c r="C47" i="3"/>
  <c r="R46" i="3"/>
  <c r="Q46" i="3"/>
  <c r="P46" i="3"/>
  <c r="C46" i="3"/>
  <c r="R45" i="3"/>
  <c r="Q45" i="3"/>
  <c r="P45" i="3"/>
  <c r="C45" i="3"/>
  <c r="R44" i="3"/>
  <c r="Q44" i="3"/>
  <c r="P44" i="3"/>
  <c r="C44" i="3"/>
  <c r="R43" i="3"/>
  <c r="Q43" i="3"/>
  <c r="P43" i="3"/>
  <c r="C43" i="3"/>
  <c r="R42" i="3"/>
  <c r="Q42" i="3"/>
  <c r="P42" i="3"/>
  <c r="C42" i="3"/>
  <c r="R41" i="3"/>
  <c r="Q41" i="3"/>
  <c r="P41" i="3"/>
  <c r="C41" i="3"/>
  <c r="R40" i="3"/>
  <c r="Q40" i="3"/>
  <c r="P40" i="3"/>
  <c r="C40" i="3"/>
  <c r="R39" i="3"/>
  <c r="Q39" i="3"/>
  <c r="P39" i="3"/>
  <c r="C39" i="3"/>
  <c r="R38" i="3"/>
  <c r="Q38" i="3"/>
  <c r="P38" i="3"/>
  <c r="C38" i="3"/>
  <c r="R37" i="3"/>
  <c r="Q37" i="3"/>
  <c r="P37" i="3"/>
  <c r="C37" i="3"/>
  <c r="S36" i="3"/>
  <c r="R36" i="3"/>
  <c r="Q36" i="3"/>
  <c r="P36" i="3"/>
  <c r="C36" i="3"/>
  <c r="S35" i="3"/>
  <c r="R35" i="3"/>
  <c r="Q35" i="3"/>
  <c r="P35" i="3"/>
  <c r="C35" i="3"/>
  <c r="S34" i="3"/>
  <c r="R34" i="3"/>
  <c r="Q34" i="3"/>
  <c r="P34" i="3"/>
  <c r="C34" i="3"/>
  <c r="S33" i="3"/>
  <c r="R33" i="3"/>
  <c r="Q33" i="3"/>
  <c r="P33" i="3"/>
  <c r="C33" i="3"/>
  <c r="S32" i="3"/>
  <c r="R32" i="3"/>
  <c r="Q32" i="3"/>
  <c r="P32" i="3"/>
  <c r="C32" i="3"/>
  <c r="S31" i="3"/>
  <c r="R31" i="3"/>
  <c r="Q31" i="3"/>
  <c r="P31" i="3"/>
  <c r="C31" i="3"/>
  <c r="S30" i="3"/>
  <c r="R30" i="3"/>
  <c r="Q30" i="3"/>
  <c r="P30" i="3"/>
  <c r="C30" i="3"/>
  <c r="S29" i="3"/>
  <c r="R29" i="3"/>
  <c r="Q29" i="3"/>
  <c r="P29" i="3"/>
  <c r="C29" i="3"/>
  <c r="S28" i="3"/>
  <c r="R28" i="3"/>
  <c r="Q28" i="3"/>
  <c r="P28" i="3"/>
  <c r="C28" i="3"/>
  <c r="S27" i="3"/>
  <c r="R27" i="3"/>
  <c r="Q27" i="3"/>
  <c r="P27" i="3"/>
  <c r="C27" i="3"/>
  <c r="S26" i="3"/>
  <c r="R26" i="3"/>
  <c r="Q26" i="3"/>
  <c r="P26" i="3"/>
  <c r="C26" i="3"/>
  <c r="S25" i="3"/>
  <c r="R25" i="3"/>
  <c r="Q25" i="3"/>
  <c r="P25" i="3"/>
  <c r="C25" i="3"/>
  <c r="S24" i="3"/>
  <c r="R24" i="3"/>
  <c r="Q24" i="3"/>
  <c r="P24" i="3"/>
  <c r="C24" i="3"/>
  <c r="S23" i="3"/>
  <c r="R23" i="3"/>
  <c r="Q23" i="3"/>
  <c r="P23" i="3"/>
  <c r="C23" i="3"/>
  <c r="S22" i="3"/>
  <c r="R22" i="3"/>
  <c r="Q22" i="3"/>
  <c r="P22" i="3"/>
  <c r="C22" i="3"/>
  <c r="S21" i="3"/>
  <c r="R21" i="3"/>
  <c r="Q21" i="3"/>
  <c r="P21" i="3"/>
  <c r="C21" i="3"/>
  <c r="S20" i="3"/>
  <c r="R20" i="3"/>
  <c r="Q20" i="3"/>
  <c r="P20" i="3"/>
  <c r="C20" i="3"/>
  <c r="S19" i="3"/>
  <c r="R19" i="3"/>
  <c r="Q19" i="3"/>
  <c r="P19" i="3"/>
  <c r="C19" i="3"/>
  <c r="S18" i="3"/>
  <c r="R18" i="3"/>
  <c r="Q18" i="3"/>
  <c r="P18" i="3"/>
  <c r="C18" i="3"/>
  <c r="S17" i="3"/>
  <c r="R17" i="3"/>
  <c r="Q17" i="3"/>
  <c r="P17" i="3"/>
  <c r="C17" i="3"/>
  <c r="S16" i="3"/>
  <c r="R16" i="3"/>
  <c r="Q16" i="3"/>
  <c r="P16" i="3"/>
  <c r="C16" i="3"/>
  <c r="S15" i="3"/>
  <c r="R15" i="3"/>
  <c r="Q15" i="3"/>
  <c r="P15" i="3"/>
  <c r="C15" i="3"/>
  <c r="S14" i="3"/>
  <c r="R14" i="3"/>
  <c r="Q14" i="3"/>
  <c r="P14" i="3"/>
  <c r="C14" i="3"/>
  <c r="S13" i="3"/>
  <c r="R13" i="3"/>
  <c r="Q13" i="3"/>
  <c r="P13" i="3"/>
  <c r="C13" i="3"/>
  <c r="S12" i="3"/>
  <c r="R12" i="3"/>
  <c r="Q12" i="3"/>
  <c r="P12" i="3"/>
  <c r="C12" i="3"/>
  <c r="S11" i="3"/>
  <c r="R11" i="3"/>
  <c r="Q11" i="3"/>
  <c r="P11" i="3"/>
  <c r="C11" i="3"/>
  <c r="S10" i="3"/>
  <c r="R10" i="3"/>
  <c r="Q10" i="3"/>
  <c r="P10" i="3"/>
  <c r="C10" i="3"/>
  <c r="S9" i="3"/>
  <c r="R9" i="3"/>
  <c r="Q9" i="3"/>
  <c r="P9" i="3"/>
  <c r="C9" i="3"/>
  <c r="S8" i="3"/>
  <c r="R8" i="3"/>
  <c r="Q8" i="3"/>
  <c r="P8" i="3"/>
  <c r="C8" i="3"/>
  <c r="S7" i="3"/>
  <c r="R7" i="3"/>
  <c r="Q7" i="3"/>
  <c r="P7" i="3"/>
  <c r="C7" i="3"/>
  <c r="S6" i="3"/>
  <c r="R6" i="3"/>
  <c r="Q6" i="3"/>
  <c r="P6" i="3"/>
  <c r="C6" i="3"/>
  <c r="S5" i="3"/>
  <c r="R5" i="3"/>
  <c r="Q5" i="3"/>
  <c r="P5" i="3"/>
  <c r="C5" i="3"/>
  <c r="S4" i="3"/>
  <c r="R4" i="3"/>
  <c r="Q4" i="3"/>
  <c r="S3" i="3"/>
  <c r="R3" i="3"/>
  <c r="Q3" i="3"/>
  <c r="S2" i="3"/>
  <c r="R2" i="3"/>
  <c r="Q2" i="3"/>
  <c r="S1" i="3"/>
  <c r="R1" i="3"/>
  <c r="Q1" i="3"/>
</calcChain>
</file>

<file path=xl/sharedStrings.xml><?xml version="1.0" encoding="utf-8"?>
<sst xmlns="http://schemas.openxmlformats.org/spreadsheetml/2006/main" count="297" uniqueCount="151">
  <si>
    <t>Mobile Gallery - Daily Worksheet</t>
  </si>
  <si>
    <t>How to use this file  /  इस फाइल का इस्तेमाल कैसे करें</t>
  </si>
  <si>
    <t>Topic  /  विषय</t>
  </si>
  <si>
    <t>In English</t>
  </si>
  <si>
    <t>हिंदी में सरल भाषा</t>
  </si>
  <si>
    <t>Master sheet
मास्टर शीट</t>
  </si>
  <si>
    <t>This is your source of data. Yellow cells are editable. Add new clients, items, units and prices here. Everything you add here shows up in the dropdowns on the other sheets automatically.</t>
  </si>
  <si>
    <t>यहाँ आपका पूरा डेटा है। पीले खाने में बदलाव कर सकते हैं। नए ग्राहक, नई चीज़ें, यूनिट और रेट यहीं डालें। यहाँ जो डालोगे वो बाकी शीट के ड्रॉपडाउन में अपने आप आ जाएगा।</t>
  </si>
  <si>
    <t>Purchase List
खरीदी लिस्ट</t>
  </si>
  <si>
    <t>Fill the Date. In row 4, pick each client name from the yellow dropdown cells above the quantity columns. For every item: pick the item from the dropdown, then type the quantity each client wants. UNIT and TOTAL fill in automatically.</t>
  </si>
  <si>
    <t>पहले तारीख भरें। पंक्ति 4 में हर पीले खाने में ग्राहक का नाम ड्रॉपडाउन से चुनें। हर सामान के लिए: चीज़ ड्रॉपडाउन से चुनें, फिर हर ग्राहक के नीचे मात्रा लिखें। यूनिट और कुल जोड़ अपने आप आ जाएगा।</t>
  </si>
  <si>
    <t>Price List
प्राइस लिस्ट</t>
  </si>
  <si>
    <t>Fill the Date and pick the Customer from the dropdown. Then pick items from the dropdown - the rate auto-fills from Master. If you want to quote a different price to this customer, just type over the rate cell. Editing the Master rate changes every non-overridden rate cell.</t>
  </si>
  <si>
    <t>तारीख भरें और ग्राहक का नाम ड्रॉपडाउन से चुनें। फिर चीज़ें ड्रॉपडाउन से चुनें - रेट मास्टर से अपने आप आ जाएगा। ग्राहक को अलग रेट बताना है तो रेट के खाने में ऊपर से नया नंबर लिख दो। मास्टर में रेट बदलोगे तो जहाँ आपने खुद नहीं लिखा है वहाँ अपने आप बदल जाएगा।</t>
  </si>
  <si>
    <t>Add a new client
नया ग्राहक जोड़ें</t>
  </si>
  <si>
    <t>Go to Master sheet, column B. Type the new name below the last client. It appears in every dropdown automatically.</t>
  </si>
  <si>
    <t>मास्टर शीट में जाओ, B कॉलम। सबसे नीचे नया नाम लिख दो। हर ड्रॉपडाउन में अपने आप आ जाएगा।</t>
  </si>
  <si>
    <t>Add a new item
नयी चीज़ जोड़ें</t>
  </si>
  <si>
    <t>Go to Master sheet. Fill Category (D), Item (E), Default Unit (F), Price (G) in the next empty row.</t>
  </si>
  <si>
    <t>मास्टर शीट में जाओ। अगली खाली लाइन में Category (D), Item (E), Default Unit (F), Price (G) भर दो।</t>
  </si>
  <si>
    <t>Update prices
रेट बदलें</t>
  </si>
  <si>
    <t>In Master sheet, column G. Change the price whenever the market rate changes. Any rate cell in Price List that you have not typed over will update automatically.</t>
  </si>
  <si>
    <t>मास्टर शीट का G कॉलम खोलो। जब भी मार्केट में रेट बदले, यहाँ बदल दो। प्राइस लिस्ट में जो रेट खुद नहीं लिखा है वो अपने आप बदल जाएगा।</t>
  </si>
  <si>
    <t>Print
प्रिंट करें</t>
  </si>
  <si>
    <t>Press Ctrl + P. Purchase List prints landscape, Price List prints portrait. Header repeats on every page.</t>
  </si>
  <si>
    <t>Ctrl + P दबाओ। खरीदी लिस्ट landscape में प्रिंट होगी, प्राइस लिस्ट portrait में। हर पन्ने पर हैडर आएगा।</t>
  </si>
  <si>
    <t>Save daily copy
रोज़ नई फाइल</t>
  </si>
  <si>
    <t>Before starting a new day: File &gt; Save As, name it like '20-Aug-2026 Purchase.xlsx'. Then clear yellow cells to start fresh. Master data stays.</t>
  </si>
  <si>
    <t>नए दिन की शुरुआत से पहले: File &gt; Save As, नाम रखो जैसे '20-Aug-2026 Purchase.xlsx'। फिर पीले खाने खाली कर दो, नई शुरुआत के लिए। मास्टर डेटा वैसे ही रहेगा।</t>
  </si>
  <si>
    <t>Colour guide
रंग समझें</t>
  </si>
  <si>
    <t>Yellow = you can edit.  Blue = auto-calculated (do not type, or the formula breaks).  Dark = header, do not touch.</t>
  </si>
  <si>
    <t>पीला = आप बदल सकते हैं।  नीला = अपने आप आता है (यहाँ न लिखें, वरना फॉर्मूला टूट जाएगा)।  गहरा = हैडर, हाथ न लगाएँ।</t>
  </si>
  <si>
    <t>Master Data - Mobile Gallery</t>
  </si>
  <si>
    <t>Yellow cells are editable. Add new rows at the bottom of each list - dropdowns on other sheets update automatically.</t>
  </si>
  <si>
    <t>Code</t>
  </si>
  <si>
    <t>Client / Customer Name</t>
  </si>
  <si>
    <t>Category</t>
  </si>
  <si>
    <t>Item</t>
  </si>
  <si>
    <t>Default Unit</t>
  </si>
  <si>
    <t>Price (Rs.)</t>
  </si>
  <si>
    <t>Units</t>
  </si>
  <si>
    <t>FS</t>
  </si>
  <si>
    <t>Fountainhead School</t>
  </si>
  <si>
    <t>VEG</t>
  </si>
  <si>
    <t>POTATO</t>
  </si>
  <si>
    <t>KG</t>
  </si>
  <si>
    <t>GD</t>
  </si>
  <si>
    <t>G International-1 (Dandi)</t>
  </si>
  <si>
    <t>ONION</t>
  </si>
  <si>
    <t>DOZEN</t>
  </si>
  <si>
    <t>GDG</t>
  </si>
  <si>
    <t>G International-2 (DG Corp)</t>
  </si>
  <si>
    <t>TOMATO</t>
  </si>
  <si>
    <t>PCS</t>
  </si>
  <si>
    <t>GM</t>
  </si>
  <si>
    <t>Gyan Mudra</t>
  </si>
  <si>
    <t>GARLIC (LASUN)</t>
  </si>
  <si>
    <t>JNVV</t>
  </si>
  <si>
    <t>JNV (Vankal)</t>
  </si>
  <si>
    <t>GINGER (ADRAK)</t>
  </si>
  <si>
    <t>PACKET</t>
  </si>
  <si>
    <t>JNVB</t>
  </si>
  <si>
    <t>JNV (Bhajipura)</t>
  </si>
  <si>
    <t>GREEN CHILLY</t>
  </si>
  <si>
    <t>BUNCH</t>
  </si>
  <si>
    <t>GKU</t>
  </si>
  <si>
    <t>Gurukrupa (Udhna)</t>
  </si>
  <si>
    <t>FAFADA MIRCH</t>
  </si>
  <si>
    <t>BUNDLE</t>
  </si>
  <si>
    <t>CORIANDER (DHANIYA)</t>
  </si>
  <si>
    <t>BOX</t>
  </si>
  <si>
    <t>KOBICH</t>
  </si>
  <si>
    <t>CRATE</t>
  </si>
  <si>
    <t>GAULI FLOWER</t>
  </si>
  <si>
    <t>LITRE</t>
  </si>
  <si>
    <t>BINAPATTE KA FLOWER</t>
  </si>
  <si>
    <t>GUNI</t>
  </si>
  <si>
    <t>LAUKI</t>
  </si>
  <si>
    <t>BHINDI</t>
  </si>
  <si>
    <t>BRINJAL</t>
  </si>
  <si>
    <t>TINDORA</t>
  </si>
  <si>
    <t>PARVAL</t>
  </si>
  <si>
    <t>TURIYA</t>
  </si>
  <si>
    <t>SIMLA MIRCH</t>
  </si>
  <si>
    <t>FANSI</t>
  </si>
  <si>
    <t>GUVAR</t>
  </si>
  <si>
    <t>SARAGVA SING</t>
  </si>
  <si>
    <t>GREEN PEACE</t>
  </si>
  <si>
    <t>KATARGAM PAP</t>
  </si>
  <si>
    <t>WHITE PUMPKIN</t>
  </si>
  <si>
    <t>LEMON</t>
  </si>
  <si>
    <t>CARROT (RED)</t>
  </si>
  <si>
    <t>CARROT (ORANGE)</t>
  </si>
  <si>
    <t>KAKDI</t>
  </si>
  <si>
    <t>MOOLI</t>
  </si>
  <si>
    <t>BEETROOT</t>
  </si>
  <si>
    <t>CORN (MAKKAI)</t>
  </si>
  <si>
    <t>METHI</t>
  </si>
  <si>
    <t>PALAK</t>
  </si>
  <si>
    <t>PUDINA</t>
  </si>
  <si>
    <t>KADI PATTA</t>
  </si>
  <si>
    <t>GREEN ONION</t>
  </si>
  <si>
    <t>KACCHA BANANA</t>
  </si>
  <si>
    <t>RED SIMLA</t>
  </si>
  <si>
    <t>YELLOW SIMLA</t>
  </si>
  <si>
    <t>BROKALI</t>
  </si>
  <si>
    <t>GREEN TEA</t>
  </si>
  <si>
    <t>BABY CORN</t>
  </si>
  <si>
    <t>LETTUCE</t>
  </si>
  <si>
    <t>CELERY</t>
  </si>
  <si>
    <t>PARSLEY</t>
  </si>
  <si>
    <t>BASIL</t>
  </si>
  <si>
    <t>FROZEN GARLIC</t>
  </si>
  <si>
    <t>FROZEN MATAR</t>
  </si>
  <si>
    <t>FROZEN CORN</t>
  </si>
  <si>
    <t>JHUGUI</t>
  </si>
  <si>
    <t>FRUIT</t>
  </si>
  <si>
    <t>APPLE</t>
  </si>
  <si>
    <t>ORANGE</t>
  </si>
  <si>
    <t>GUAVA</t>
  </si>
  <si>
    <t>CHIKU</t>
  </si>
  <si>
    <t>BANANA</t>
  </si>
  <si>
    <t>PLUMS</t>
  </si>
  <si>
    <t>POME GRANATE</t>
  </si>
  <si>
    <t>GRAPS</t>
  </si>
  <si>
    <t>WATER MELON</t>
  </si>
  <si>
    <t>PAPAYA</t>
  </si>
  <si>
    <t>MOSAMBI</t>
  </si>
  <si>
    <t>MUSK MELON</t>
  </si>
  <si>
    <t>MANGO / STRAWBERRY</t>
  </si>
  <si>
    <t>PINEAPPLE</t>
  </si>
  <si>
    <t>NARIYAL PANI</t>
  </si>
  <si>
    <t>OTHER</t>
  </si>
  <si>
    <t>PANIPURI</t>
  </si>
  <si>
    <t>COLD DRINK</t>
  </si>
  <si>
    <t>BUTTER</t>
  </si>
  <si>
    <t>CHEESE</t>
  </si>
  <si>
    <t>PANEER</t>
  </si>
  <si>
    <t>BRADE</t>
  </si>
  <si>
    <t>PAV BHAJI / DABELI PAV</t>
  </si>
  <si>
    <t>Purchase List - Mobile Gallery</t>
  </si>
  <si>
    <t>Date</t>
  </si>
  <si>
    <t>Notes</t>
  </si>
  <si>
    <t>SR</t>
  </si>
  <si>
    <t>ITEM</t>
  </si>
  <si>
    <t>UNIT</t>
  </si>
  <si>
    <t>TOTAL</t>
  </si>
  <si>
    <t>Price List - Mobile Gallery</t>
  </si>
  <si>
    <t>Customer</t>
  </si>
  <si>
    <t>RATE (Rs.)</t>
  </si>
  <si>
    <t>Rate auto-fills from Master. Type over any rate cell to quote a different price for this customer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</si>
</sst>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1" x14ac:knownFonts="1">
    <font>
      <sz val="11"/>
      <color theme="1"/>
      <name val="Calibri"/>
      <family val="2"/>
      <scheme val="minor"/>
    </font>
    <font>
      <b/>
      <sz val="18"/>
      <color rgb="FF1F2937"/>
      <name val="Calibri"/>
    </font>
    <font>
      <i/>
      <sz val="10"/>
      <color rgb="FF64748B"/>
      <name val="Calibri"/>
    </font>
    <font>
      <b/>
      <sz val="11"/>
      <color rgb="FFFFFFFF"/>
      <name val="Calibri"/>
    </font>
    <font>
      <sz val="11"/>
      <color rgb="FF0F172A"/>
      <name val="Calibri"/>
    </font>
    <font>
      <sz val="10"/>
      <color rgb="FF64748B"/>
      <name val="Calibri"/>
    </font>
    <font>
      <b/>
      <sz val="11"/>
      <color rgb="FF334155"/>
      <name val="Calibri"/>
    </font>
    <font>
      <b/>
      <sz val="11"/>
      <color rgb="FF0F172A"/>
      <name val="Calibri"/>
    </font>
    <font>
      <b/>
      <sz val="20"/>
      <color rgb="FF1F2937"/>
      <name val="Calibri"/>
    </font>
    <font>
      <i/>
      <sz val="12"/>
      <color rgb="FF64748B"/>
      <name val="Calibri"/>
    </font>
    <font>
      <sz val="11"/>
      <color rgb="FF0F172A"/>
      <name val="Nirmala UI"/>
    </font>
  </fonts>
  <fills count="6">
    <fill>
      <patternFill patternType="none"/>
    </fill>
    <fill>
      <patternFill patternType="gray125"/>
    </fill>
    <fill>
      <patternFill patternType="solid">
        <fgColor rgb="FF334155"/>
      </patternFill>
    </fill>
    <fill>
      <patternFill patternType="solid">
        <fgColor rgb="FFFEF9C3"/>
      </patternFill>
    </fill>
    <fill>
      <patternFill patternType="solid">
        <fgColor rgb="FFE0F2FE"/>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s>
  <cellStyleXfs count="1">
    <xf numFmtId="0" fontId="0" fillId="0" borderId="0"/>
  </cellStyleXfs>
  <cellXfs count="24">
    <xf numFmtId="0" fontId="0" fillId="0" borderId="0" xfId="0"/>
    <xf numFmtId="0" fontId="3" fillId="2" borderId="1" xfId="0" applyFont="1" applyFill="1" applyBorder="1" applyAlignment="1">
      <alignment horizontal="center" vertical="center" wrapText="1"/>
    </xf>
    <xf numFmtId="0" fontId="7" fillId="5" borderId="1" xfId="0" applyFont="1" applyFill="1" applyBorder="1" applyAlignment="1">
      <alignment horizontal="left" vertical="center" wrapText="1" indent="1"/>
    </xf>
    <xf numFmtId="0" fontId="4" fillId="0" borderId="1" xfId="0" applyFont="1" applyBorder="1" applyAlignment="1">
      <alignment horizontal="left" vertical="center" wrapText="1" indent="1"/>
    </xf>
    <xf numFmtId="0" fontId="10" fillId="0" borderId="1" xfId="0" applyFont="1" applyBorder="1" applyAlignment="1">
      <alignment horizontal="left" vertical="center" wrapText="1" inden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indent="1"/>
    </xf>
    <xf numFmtId="4" fontId="4" fillId="3" borderId="1" xfId="0" applyNumberFormat="1" applyFont="1" applyFill="1" applyBorder="1" applyAlignment="1">
      <alignment horizontal="right" vertical="center" indent="1"/>
    </xf>
    <xf numFmtId="0" fontId="5" fillId="0" borderId="0" xfId="0" applyFont="1"/>
    <xf numFmtId="0" fontId="6" fillId="0" borderId="0" xfId="0" applyFont="1" applyAlignment="1">
      <alignment horizontal="right" vertical="center" indent="1"/>
    </xf>
    <xf numFmtId="164" fontId="4" fillId="3" borderId="1" xfId="0" applyNumberFormat="1" applyFont="1" applyFill="1" applyBorder="1" applyAlignment="1">
      <alignment horizontal="left" vertical="center" wrapText="1" indent="1"/>
    </xf>
    <xf numFmtId="0" fontId="7"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 fillId="0" borderId="0" xfId="0" applyFont="1"/>
    <xf numFmtId="0" fontId="0" fillId="0" borderId="0" xfId="0"/>
    <xf numFmtId="0" fontId="5" fillId="0" borderId="0" xfId="0" applyFont="1" applyAlignment="1">
      <alignment vertical="center" wrapText="1"/>
    </xf>
    <xf numFmtId="0" fontId="8" fillId="0" borderId="0" xfId="0" applyFont="1"/>
    <xf numFmtId="0" fontId="9" fillId="0" borderId="0" xfId="0" applyFont="1"/>
    <xf numFmtId="0" fontId="2" fillId="0" borderId="0" xfId="0" applyFont="1"/>
    <xf numFmtId="0" fontId="4" fillId="3" borderId="1" xfId="0" applyFont="1" applyFill="1" applyBorder="1" applyAlignment="1">
      <alignment horizontal="left" vertical="center" wrapText="1" indent="1"/>
    </xf>
    <xf numFmtId="164" fontId="4" fillId="3" borderId="1" xfId="0" applyNumberFormat="1" applyFont="1" applyFill="1" applyBorder="1" applyAlignment="1">
      <alignment horizontal="left" vertical="center" wrapText="1" inden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showGridLines="0" tabSelected="1" workbookViewId="0">
      <selection activeCell="H5" sqref="H5"/>
    </sheetView>
  </sheetViews>
  <sheetFormatPr defaultRowHeight="15" x14ac:dyDescent="0.25"/>
  <cols>
    <col min="1" max="1" width="26" customWidth="1"/>
    <col min="2" max="2" width="58" customWidth="1"/>
    <col min="3" max="3" width="62" customWidth="1"/>
  </cols>
  <sheetData>
    <row r="1" spans="1:3" ht="36" customHeight="1" x14ac:dyDescent="0.4">
      <c r="A1" s="18" t="s">
        <v>0</v>
      </c>
      <c r="B1" s="16"/>
      <c r="C1" s="16"/>
    </row>
    <row r="2" spans="1:3" ht="24" customHeight="1" x14ac:dyDescent="0.25">
      <c r="A2" s="19" t="s">
        <v>1</v>
      </c>
      <c r="B2" s="16"/>
      <c r="C2" s="16"/>
    </row>
    <row r="4" spans="1:3" ht="30" customHeight="1" x14ac:dyDescent="0.25">
      <c r="A4" s="1" t="s">
        <v>2</v>
      </c>
      <c r="B4" s="1" t="s">
        <v>3</v>
      </c>
      <c r="C4" s="1" t="s">
        <v>4</v>
      </c>
    </row>
    <row r="5" spans="1:3" ht="69.95" customHeight="1" x14ac:dyDescent="0.25">
      <c r="A5" s="2" t="s">
        <v>5</v>
      </c>
      <c r="B5" s="3" t="s">
        <v>6</v>
      </c>
      <c r="C5" s="4" t="s">
        <v>7</v>
      </c>
    </row>
    <row r="6" spans="1:3" ht="69.95" customHeight="1" x14ac:dyDescent="0.25">
      <c r="A6" s="2" t="s">
        <v>8</v>
      </c>
      <c r="B6" s="3" t="s">
        <v>9</v>
      </c>
      <c r="C6" s="4" t="s">
        <v>10</v>
      </c>
    </row>
    <row r="7" spans="1:3" ht="69.95" customHeight="1" x14ac:dyDescent="0.25">
      <c r="A7" s="2" t="s">
        <v>11</v>
      </c>
      <c r="B7" s="3" t="s">
        <v>12</v>
      </c>
      <c r="C7" s="4" t="s">
        <v>13</v>
      </c>
    </row>
    <row r="8" spans="1:3" ht="69.95" customHeight="1" x14ac:dyDescent="0.25">
      <c r="A8" s="2" t="s">
        <v>14</v>
      </c>
      <c r="B8" s="3" t="s">
        <v>15</v>
      </c>
      <c r="C8" s="4" t="s">
        <v>16</v>
      </c>
    </row>
    <row r="9" spans="1:3" ht="69.95" customHeight="1" x14ac:dyDescent="0.25">
      <c r="A9" s="2" t="s">
        <v>17</v>
      </c>
      <c r="B9" s="3" t="s">
        <v>18</v>
      </c>
      <c r="C9" s="4" t="s">
        <v>19</v>
      </c>
    </row>
    <row r="10" spans="1:3" ht="69.95" customHeight="1" x14ac:dyDescent="0.25">
      <c r="A10" s="2" t="s">
        <v>20</v>
      </c>
      <c r="B10" s="3" t="s">
        <v>21</v>
      </c>
      <c r="C10" s="4" t="s">
        <v>22</v>
      </c>
    </row>
    <row r="11" spans="1:3" ht="69.95" customHeight="1" x14ac:dyDescent="0.25">
      <c r="A11" s="2" t="s">
        <v>23</v>
      </c>
      <c r="B11" s="3" t="s">
        <v>24</v>
      </c>
      <c r="C11" s="4" t="s">
        <v>25</v>
      </c>
    </row>
    <row r="12" spans="1:3" ht="69.95" customHeight="1" x14ac:dyDescent="0.25">
      <c r="A12" s="2" t="s">
        <v>26</v>
      </c>
      <c r="B12" s="3" t="s">
        <v>27</v>
      </c>
      <c r="C12" s="4" t="s">
        <v>28</v>
      </c>
    </row>
    <row r="13" spans="1:3" ht="69.95" customHeight="1" x14ac:dyDescent="0.25">
      <c r="A13" s="2" t="s">
        <v>29</v>
      </c>
      <c r="B13" s="3" t="s">
        <v>30</v>
      </c>
      <c r="C13" s="4" t="s">
        <v>31</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0"/>
  <sheetViews>
    <sheetView showGridLines="0" workbookViewId="0">
      <pane ySplit="4" topLeftCell="A5" activePane="bottomLeft" state="frozen"/>
      <selection pane="bottomLeft" sqref="A1:I1"/>
    </sheetView>
  </sheetViews>
  <sheetFormatPr defaultRowHeight="15" x14ac:dyDescent="0.25"/>
  <cols>
    <col min="1" max="1" width="8" customWidth="1"/>
    <col min="2" max="2" width="34" customWidth="1"/>
    <col min="3" max="3" width="2" customWidth="1"/>
    <col min="4" max="4" width="12" customWidth="1"/>
    <col min="5" max="5" width="30" customWidth="1"/>
    <col min="6" max="6" width="14" customWidth="1"/>
    <col min="7" max="7" width="12" customWidth="1"/>
    <col min="8" max="8" width="2" customWidth="1"/>
    <col min="9" max="9" width="14" customWidth="1"/>
  </cols>
  <sheetData>
    <row r="1" spans="1:9" ht="30" customHeight="1" x14ac:dyDescent="0.35">
      <c r="A1" s="15" t="s">
        <v>32</v>
      </c>
      <c r="B1" s="16"/>
      <c r="C1" s="16"/>
      <c r="D1" s="16"/>
      <c r="E1" s="16"/>
      <c r="F1" s="16"/>
      <c r="G1" s="16"/>
      <c r="H1" s="16"/>
      <c r="I1" s="16"/>
    </row>
    <row r="2" spans="1:9" ht="20.100000000000001" customHeight="1" x14ac:dyDescent="0.25">
      <c r="A2" s="20" t="s">
        <v>33</v>
      </c>
      <c r="B2" s="16"/>
      <c r="C2" s="16"/>
      <c r="D2" s="16"/>
      <c r="E2" s="16"/>
      <c r="F2" s="16"/>
      <c r="G2" s="16"/>
      <c r="H2" s="16"/>
      <c r="I2" s="16"/>
    </row>
    <row r="4" spans="1:9" ht="26.1" customHeight="1" x14ac:dyDescent="0.25">
      <c r="A4" s="1" t="s">
        <v>34</v>
      </c>
      <c r="B4" s="1" t="s">
        <v>35</v>
      </c>
      <c r="D4" s="1" t="s">
        <v>36</v>
      </c>
      <c r="E4" s="1" t="s">
        <v>37</v>
      </c>
      <c r="F4" s="1" t="s">
        <v>38</v>
      </c>
      <c r="G4" s="1" t="s">
        <v>39</v>
      </c>
      <c r="I4" s="1" t="s">
        <v>40</v>
      </c>
    </row>
    <row r="5" spans="1:9" x14ac:dyDescent="0.25">
      <c r="A5" s="5" t="s">
        <v>41</v>
      </c>
      <c r="B5" s="6" t="s">
        <v>42</v>
      </c>
      <c r="D5" s="5" t="s">
        <v>43</v>
      </c>
      <c r="E5" s="6" t="s">
        <v>44</v>
      </c>
      <c r="F5" s="5" t="s">
        <v>45</v>
      </c>
      <c r="G5" s="7"/>
      <c r="I5" s="5" t="s">
        <v>45</v>
      </c>
    </row>
    <row r="6" spans="1:9" x14ac:dyDescent="0.25">
      <c r="A6" s="5" t="s">
        <v>46</v>
      </c>
      <c r="B6" s="6" t="s">
        <v>47</v>
      </c>
      <c r="D6" s="5" t="s">
        <v>43</v>
      </c>
      <c r="E6" s="6" t="s">
        <v>48</v>
      </c>
      <c r="F6" s="5" t="s">
        <v>45</v>
      </c>
      <c r="G6" s="7"/>
      <c r="I6" s="5" t="s">
        <v>49</v>
      </c>
    </row>
    <row r="7" spans="1:9" x14ac:dyDescent="0.25">
      <c r="A7" s="5" t="s">
        <v>50</v>
      </c>
      <c r="B7" s="6" t="s">
        <v>51</v>
      </c>
      <c r="D7" s="5" t="s">
        <v>43</v>
      </c>
      <c r="E7" s="6" t="s">
        <v>52</v>
      </c>
      <c r="F7" s="5" t="s">
        <v>45</v>
      </c>
      <c r="G7" s="7"/>
      <c r="I7" s="5" t="s">
        <v>53</v>
      </c>
    </row>
    <row r="8" spans="1:9" x14ac:dyDescent="0.25">
      <c r="A8" s="5" t="s">
        <v>54</v>
      </c>
      <c r="B8" s="6" t="s">
        <v>55</v>
      </c>
      <c r="D8" s="5" t="s">
        <v>43</v>
      </c>
      <c r="E8" s="6" t="s">
        <v>56</v>
      </c>
      <c r="F8" s="5" t="s">
        <v>45</v>
      </c>
      <c r="G8" s="7"/>
      <c r="I8" s="5" t="s">
        <v>54</v>
      </c>
    </row>
    <row r="9" spans="1:9" x14ac:dyDescent="0.25">
      <c r="A9" s="5" t="s">
        <v>57</v>
      </c>
      <c r="B9" s="6" t="s">
        <v>58</v>
      </c>
      <c r="D9" s="5" t="s">
        <v>43</v>
      </c>
      <c r="E9" s="6" t="s">
        <v>59</v>
      </c>
      <c r="F9" s="5" t="s">
        <v>45</v>
      </c>
      <c r="G9" s="7"/>
      <c r="I9" s="5" t="s">
        <v>60</v>
      </c>
    </row>
    <row r="10" spans="1:9" x14ac:dyDescent="0.25">
      <c r="A10" s="5" t="s">
        <v>61</v>
      </c>
      <c r="B10" s="6" t="s">
        <v>62</v>
      </c>
      <c r="D10" s="5" t="s">
        <v>43</v>
      </c>
      <c r="E10" s="6" t="s">
        <v>63</v>
      </c>
      <c r="F10" s="5" t="s">
        <v>45</v>
      </c>
      <c r="G10" s="7"/>
      <c r="I10" s="5" t="s">
        <v>64</v>
      </c>
    </row>
    <row r="11" spans="1:9" x14ac:dyDescent="0.25">
      <c r="A11" s="5" t="s">
        <v>65</v>
      </c>
      <c r="B11" s="6" t="s">
        <v>66</v>
      </c>
      <c r="D11" s="5" t="s">
        <v>43</v>
      </c>
      <c r="E11" s="6" t="s">
        <v>67</v>
      </c>
      <c r="F11" s="5" t="s">
        <v>45</v>
      </c>
      <c r="G11" s="7"/>
      <c r="I11" s="5" t="s">
        <v>68</v>
      </c>
    </row>
    <row r="12" spans="1:9" x14ac:dyDescent="0.25">
      <c r="A12" s="5"/>
      <c r="B12" s="6"/>
      <c r="D12" s="5" t="s">
        <v>43</v>
      </c>
      <c r="E12" s="6" t="s">
        <v>69</v>
      </c>
      <c r="F12" s="5" t="s">
        <v>45</v>
      </c>
      <c r="G12" s="7"/>
      <c r="I12" s="5" t="s">
        <v>70</v>
      </c>
    </row>
    <row r="13" spans="1:9" x14ac:dyDescent="0.25">
      <c r="A13" s="5"/>
      <c r="B13" s="6"/>
      <c r="D13" s="5" t="s">
        <v>43</v>
      </c>
      <c r="E13" s="6" t="s">
        <v>71</v>
      </c>
      <c r="F13" s="5" t="s">
        <v>45</v>
      </c>
      <c r="G13" s="7"/>
      <c r="I13" s="5" t="s">
        <v>72</v>
      </c>
    </row>
    <row r="14" spans="1:9" x14ac:dyDescent="0.25">
      <c r="A14" s="5"/>
      <c r="B14" s="6"/>
      <c r="D14" s="5" t="s">
        <v>43</v>
      </c>
      <c r="E14" s="6" t="s">
        <v>73</v>
      </c>
      <c r="F14" s="5" t="s">
        <v>45</v>
      </c>
      <c r="G14" s="7"/>
      <c r="I14" s="5" t="s">
        <v>74</v>
      </c>
    </row>
    <row r="15" spans="1:9" x14ac:dyDescent="0.25">
      <c r="A15" s="5"/>
      <c r="B15" s="6"/>
      <c r="D15" s="5" t="s">
        <v>43</v>
      </c>
      <c r="E15" s="6" t="s">
        <v>75</v>
      </c>
      <c r="F15" s="5" t="s">
        <v>45</v>
      </c>
      <c r="G15" s="7"/>
      <c r="I15" s="5" t="s">
        <v>76</v>
      </c>
    </row>
    <row r="16" spans="1:9" x14ac:dyDescent="0.25">
      <c r="A16" s="5"/>
      <c r="B16" s="6"/>
      <c r="D16" s="5" t="s">
        <v>43</v>
      </c>
      <c r="E16" s="6" t="s">
        <v>77</v>
      </c>
      <c r="F16" s="5" t="s">
        <v>45</v>
      </c>
      <c r="G16" s="7"/>
      <c r="I16" s="5"/>
    </row>
    <row r="17" spans="1:9" x14ac:dyDescent="0.25">
      <c r="A17" s="5"/>
      <c r="B17" s="6"/>
      <c r="D17" s="5" t="s">
        <v>43</v>
      </c>
      <c r="E17" s="6" t="s">
        <v>78</v>
      </c>
      <c r="F17" s="5" t="s">
        <v>45</v>
      </c>
      <c r="G17" s="7"/>
      <c r="I17" s="5"/>
    </row>
    <row r="18" spans="1:9" x14ac:dyDescent="0.25">
      <c r="A18" s="5"/>
      <c r="B18" s="6"/>
      <c r="D18" s="5" t="s">
        <v>43</v>
      </c>
      <c r="E18" s="6" t="s">
        <v>79</v>
      </c>
      <c r="F18" s="5" t="s">
        <v>45</v>
      </c>
      <c r="G18" s="7"/>
      <c r="I18" s="5"/>
    </row>
    <row r="19" spans="1:9" x14ac:dyDescent="0.25">
      <c r="A19" s="5"/>
      <c r="B19" s="6"/>
      <c r="D19" s="5" t="s">
        <v>43</v>
      </c>
      <c r="E19" s="6" t="s">
        <v>80</v>
      </c>
      <c r="F19" s="5" t="s">
        <v>45</v>
      </c>
      <c r="G19" s="7"/>
      <c r="I19" s="5"/>
    </row>
    <row r="20" spans="1:9" x14ac:dyDescent="0.25">
      <c r="A20" s="5"/>
      <c r="B20" s="6"/>
      <c r="D20" s="5" t="s">
        <v>43</v>
      </c>
      <c r="E20" s="6" t="s">
        <v>81</v>
      </c>
      <c r="F20" s="5" t="s">
        <v>45</v>
      </c>
      <c r="G20" s="7"/>
      <c r="I20" s="5"/>
    </row>
    <row r="21" spans="1:9" x14ac:dyDescent="0.25">
      <c r="A21" s="5"/>
      <c r="B21" s="6"/>
      <c r="D21" s="5" t="s">
        <v>43</v>
      </c>
      <c r="E21" s="6" t="s">
        <v>82</v>
      </c>
      <c r="F21" s="5" t="s">
        <v>45</v>
      </c>
      <c r="G21" s="7"/>
      <c r="I21" s="5"/>
    </row>
    <row r="22" spans="1:9" x14ac:dyDescent="0.25">
      <c r="A22" s="5"/>
      <c r="B22" s="6"/>
      <c r="D22" s="5" t="s">
        <v>43</v>
      </c>
      <c r="E22" s="6" t="s">
        <v>83</v>
      </c>
      <c r="F22" s="5" t="s">
        <v>45</v>
      </c>
      <c r="G22" s="7"/>
      <c r="I22" s="5"/>
    </row>
    <row r="23" spans="1:9" x14ac:dyDescent="0.25">
      <c r="A23" s="5"/>
      <c r="B23" s="6"/>
      <c r="D23" s="5" t="s">
        <v>43</v>
      </c>
      <c r="E23" s="6" t="s">
        <v>84</v>
      </c>
      <c r="F23" s="5" t="s">
        <v>45</v>
      </c>
      <c r="G23" s="7"/>
      <c r="I23" s="5"/>
    </row>
    <row r="24" spans="1:9" x14ac:dyDescent="0.25">
      <c r="A24" s="5"/>
      <c r="B24" s="6"/>
      <c r="D24" s="5" t="s">
        <v>43</v>
      </c>
      <c r="E24" s="6" t="s">
        <v>85</v>
      </c>
      <c r="F24" s="5" t="s">
        <v>45</v>
      </c>
      <c r="G24" s="7"/>
      <c r="I24" s="5"/>
    </row>
    <row r="25" spans="1:9" x14ac:dyDescent="0.25">
      <c r="A25" s="5"/>
      <c r="B25" s="6"/>
      <c r="D25" s="5" t="s">
        <v>43</v>
      </c>
      <c r="E25" s="6" t="s">
        <v>86</v>
      </c>
      <c r="F25" s="5" t="s">
        <v>45</v>
      </c>
      <c r="G25" s="7"/>
      <c r="I25" s="5"/>
    </row>
    <row r="26" spans="1:9" x14ac:dyDescent="0.25">
      <c r="A26" s="5"/>
      <c r="B26" s="6"/>
      <c r="D26" s="5" t="s">
        <v>43</v>
      </c>
      <c r="E26" s="6" t="s">
        <v>87</v>
      </c>
      <c r="F26" s="5" t="s">
        <v>45</v>
      </c>
      <c r="G26" s="7"/>
      <c r="I26" s="5"/>
    </row>
    <row r="27" spans="1:9" x14ac:dyDescent="0.25">
      <c r="A27" s="5"/>
      <c r="B27" s="6"/>
      <c r="D27" s="5" t="s">
        <v>43</v>
      </c>
      <c r="E27" s="6" t="s">
        <v>88</v>
      </c>
      <c r="F27" s="5" t="s">
        <v>45</v>
      </c>
      <c r="G27" s="7"/>
      <c r="I27" s="5"/>
    </row>
    <row r="28" spans="1:9" x14ac:dyDescent="0.25">
      <c r="A28" s="5"/>
      <c r="B28" s="6"/>
      <c r="D28" s="5" t="s">
        <v>43</v>
      </c>
      <c r="E28" s="6" t="s">
        <v>89</v>
      </c>
      <c r="F28" s="5" t="s">
        <v>45</v>
      </c>
      <c r="G28" s="7"/>
      <c r="I28" s="5"/>
    </row>
    <row r="29" spans="1:9" x14ac:dyDescent="0.25">
      <c r="A29" s="5"/>
      <c r="B29" s="6"/>
      <c r="D29" s="5" t="s">
        <v>43</v>
      </c>
      <c r="E29" s="6" t="s">
        <v>90</v>
      </c>
      <c r="F29" s="5" t="s">
        <v>53</v>
      </c>
      <c r="G29" s="7"/>
      <c r="I29" s="5"/>
    </row>
    <row r="30" spans="1:9" x14ac:dyDescent="0.25">
      <c r="A30" s="5"/>
      <c r="B30" s="6"/>
      <c r="D30" s="5" t="s">
        <v>43</v>
      </c>
      <c r="E30" s="6" t="s">
        <v>91</v>
      </c>
      <c r="F30" s="5" t="s">
        <v>45</v>
      </c>
      <c r="G30" s="7"/>
      <c r="I30" s="5"/>
    </row>
    <row r="31" spans="1:9" x14ac:dyDescent="0.25">
      <c r="A31" s="5"/>
      <c r="B31" s="6"/>
      <c r="D31" s="5" t="s">
        <v>43</v>
      </c>
      <c r="E31" s="6" t="s">
        <v>92</v>
      </c>
      <c r="F31" s="5" t="s">
        <v>45</v>
      </c>
      <c r="G31" s="7"/>
      <c r="I31" s="5"/>
    </row>
    <row r="32" spans="1:9" x14ac:dyDescent="0.25">
      <c r="A32" s="5"/>
      <c r="B32" s="6"/>
      <c r="D32" s="5" t="s">
        <v>43</v>
      </c>
      <c r="E32" s="6" t="s">
        <v>93</v>
      </c>
      <c r="F32" s="5" t="s">
        <v>45</v>
      </c>
      <c r="G32" s="7"/>
      <c r="I32" s="5"/>
    </row>
    <row r="33" spans="1:9" x14ac:dyDescent="0.25">
      <c r="A33" s="5"/>
      <c r="B33" s="6"/>
      <c r="D33" s="5" t="s">
        <v>43</v>
      </c>
      <c r="E33" s="6" t="s">
        <v>94</v>
      </c>
      <c r="F33" s="5" t="s">
        <v>45</v>
      </c>
      <c r="G33" s="7"/>
      <c r="I33" s="5"/>
    </row>
    <row r="34" spans="1:9" x14ac:dyDescent="0.25">
      <c r="A34" s="5"/>
      <c r="B34" s="6"/>
      <c r="D34" s="5" t="s">
        <v>43</v>
      </c>
      <c r="E34" s="6" t="s">
        <v>95</v>
      </c>
      <c r="F34" s="5" t="s">
        <v>45</v>
      </c>
      <c r="G34" s="7"/>
      <c r="I34" s="5"/>
    </row>
    <row r="35" spans="1:9" x14ac:dyDescent="0.25">
      <c r="A35" s="5"/>
      <c r="B35" s="6"/>
      <c r="D35" s="5" t="s">
        <v>43</v>
      </c>
      <c r="E35" s="6" t="s">
        <v>96</v>
      </c>
      <c r="F35" s="5" t="s">
        <v>45</v>
      </c>
      <c r="G35" s="7"/>
      <c r="I35" s="5"/>
    </row>
    <row r="36" spans="1:9" x14ac:dyDescent="0.25">
      <c r="A36" s="5"/>
      <c r="B36" s="6"/>
      <c r="D36" s="5" t="s">
        <v>43</v>
      </c>
      <c r="E36" s="6" t="s">
        <v>97</v>
      </c>
      <c r="F36" s="5" t="s">
        <v>45</v>
      </c>
      <c r="G36" s="7"/>
      <c r="I36" s="5"/>
    </row>
    <row r="37" spans="1:9" x14ac:dyDescent="0.25">
      <c r="A37" s="5"/>
      <c r="B37" s="6"/>
      <c r="D37" s="5" t="s">
        <v>43</v>
      </c>
      <c r="E37" s="6" t="s">
        <v>98</v>
      </c>
      <c r="F37" s="5" t="s">
        <v>45</v>
      </c>
      <c r="G37" s="7"/>
      <c r="I37" s="5"/>
    </row>
    <row r="38" spans="1:9" x14ac:dyDescent="0.25">
      <c r="A38" s="5"/>
      <c r="B38" s="6"/>
      <c r="D38" s="5" t="s">
        <v>43</v>
      </c>
      <c r="E38" s="6" t="s">
        <v>99</v>
      </c>
      <c r="F38" s="5" t="s">
        <v>45</v>
      </c>
      <c r="G38" s="7"/>
      <c r="I38" s="5"/>
    </row>
    <row r="39" spans="1:9" x14ac:dyDescent="0.25">
      <c r="A39" s="5"/>
      <c r="B39" s="6"/>
      <c r="D39" s="5" t="s">
        <v>43</v>
      </c>
      <c r="E39" s="6" t="s">
        <v>100</v>
      </c>
      <c r="F39" s="5" t="s">
        <v>45</v>
      </c>
      <c r="G39" s="7"/>
      <c r="I39" s="5"/>
    </row>
    <row r="40" spans="1:9" x14ac:dyDescent="0.25">
      <c r="A40" s="5"/>
      <c r="B40" s="6"/>
      <c r="D40" s="5" t="s">
        <v>43</v>
      </c>
      <c r="E40" s="6" t="s">
        <v>101</v>
      </c>
      <c r="F40" s="5" t="s">
        <v>45</v>
      </c>
      <c r="G40" s="7"/>
      <c r="I40" s="5"/>
    </row>
    <row r="41" spans="1:9" x14ac:dyDescent="0.25">
      <c r="A41" s="5"/>
      <c r="B41" s="6"/>
      <c r="D41" s="5" t="s">
        <v>43</v>
      </c>
      <c r="E41" s="6" t="s">
        <v>102</v>
      </c>
      <c r="F41" s="5" t="s">
        <v>45</v>
      </c>
      <c r="G41" s="7"/>
    </row>
    <row r="42" spans="1:9" x14ac:dyDescent="0.25">
      <c r="A42" s="5"/>
      <c r="B42" s="6"/>
      <c r="D42" s="5" t="s">
        <v>43</v>
      </c>
      <c r="E42" s="6" t="s">
        <v>103</v>
      </c>
      <c r="F42" s="5" t="s">
        <v>45</v>
      </c>
      <c r="G42" s="7"/>
    </row>
    <row r="43" spans="1:9" x14ac:dyDescent="0.25">
      <c r="A43" s="5"/>
      <c r="B43" s="6"/>
      <c r="D43" s="5" t="s">
        <v>43</v>
      </c>
      <c r="E43" s="6" t="s">
        <v>104</v>
      </c>
      <c r="F43" s="5" t="s">
        <v>45</v>
      </c>
      <c r="G43" s="7"/>
    </row>
    <row r="44" spans="1:9" x14ac:dyDescent="0.25">
      <c r="A44" s="5"/>
      <c r="B44" s="6"/>
      <c r="D44" s="5" t="s">
        <v>43</v>
      </c>
      <c r="E44" s="6" t="s">
        <v>105</v>
      </c>
      <c r="F44" s="5" t="s">
        <v>45</v>
      </c>
      <c r="G44" s="7"/>
    </row>
    <row r="45" spans="1:9" x14ac:dyDescent="0.25">
      <c r="A45" s="5"/>
      <c r="B45" s="6"/>
      <c r="D45" s="5" t="s">
        <v>43</v>
      </c>
      <c r="E45" s="6" t="s">
        <v>106</v>
      </c>
      <c r="F45" s="5" t="s">
        <v>45</v>
      </c>
      <c r="G45" s="7"/>
    </row>
    <row r="46" spans="1:9" x14ac:dyDescent="0.25">
      <c r="A46" s="5"/>
      <c r="B46" s="6"/>
      <c r="D46" s="5" t="s">
        <v>43</v>
      </c>
      <c r="E46" s="6" t="s">
        <v>107</v>
      </c>
      <c r="F46" s="5" t="s">
        <v>45</v>
      </c>
      <c r="G46" s="7"/>
    </row>
    <row r="47" spans="1:9" x14ac:dyDescent="0.25">
      <c r="A47" s="5"/>
      <c r="B47" s="6"/>
      <c r="D47" s="5" t="s">
        <v>43</v>
      </c>
      <c r="E47" s="6" t="s">
        <v>108</v>
      </c>
      <c r="F47" s="5" t="s">
        <v>45</v>
      </c>
      <c r="G47" s="7"/>
    </row>
    <row r="48" spans="1:9" x14ac:dyDescent="0.25">
      <c r="A48" s="5"/>
      <c r="B48" s="6"/>
      <c r="D48" s="5" t="s">
        <v>43</v>
      </c>
      <c r="E48" s="6" t="s">
        <v>109</v>
      </c>
      <c r="F48" s="5" t="s">
        <v>45</v>
      </c>
      <c r="G48" s="7"/>
    </row>
    <row r="49" spans="1:7" x14ac:dyDescent="0.25">
      <c r="A49" s="5"/>
      <c r="B49" s="6"/>
      <c r="D49" s="5" t="s">
        <v>43</v>
      </c>
      <c r="E49" s="6" t="s">
        <v>110</v>
      </c>
      <c r="F49" s="5" t="s">
        <v>45</v>
      </c>
      <c r="G49" s="7"/>
    </row>
    <row r="50" spans="1:7" x14ac:dyDescent="0.25">
      <c r="A50" s="5"/>
      <c r="B50" s="6"/>
      <c r="D50" s="5" t="s">
        <v>43</v>
      </c>
      <c r="E50" s="6" t="s">
        <v>111</v>
      </c>
      <c r="F50" s="5" t="s">
        <v>45</v>
      </c>
      <c r="G50" s="7"/>
    </row>
    <row r="51" spans="1:7" x14ac:dyDescent="0.25">
      <c r="A51" s="5"/>
      <c r="B51" s="6"/>
      <c r="D51" s="5" t="s">
        <v>43</v>
      </c>
      <c r="E51" s="6" t="s">
        <v>112</v>
      </c>
      <c r="F51" s="5" t="s">
        <v>45</v>
      </c>
      <c r="G51" s="7"/>
    </row>
    <row r="52" spans="1:7" x14ac:dyDescent="0.25">
      <c r="A52" s="5"/>
      <c r="B52" s="6"/>
      <c r="D52" s="5" t="s">
        <v>43</v>
      </c>
      <c r="E52" s="6" t="s">
        <v>113</v>
      </c>
      <c r="F52" s="5" t="s">
        <v>45</v>
      </c>
      <c r="G52" s="7"/>
    </row>
    <row r="53" spans="1:7" x14ac:dyDescent="0.25">
      <c r="A53" s="5"/>
      <c r="B53" s="6"/>
      <c r="D53" s="5" t="s">
        <v>43</v>
      </c>
      <c r="E53" s="6" t="s">
        <v>114</v>
      </c>
      <c r="F53" s="5" t="s">
        <v>45</v>
      </c>
      <c r="G53" s="7"/>
    </row>
    <row r="54" spans="1:7" x14ac:dyDescent="0.25">
      <c r="A54" s="5"/>
      <c r="B54" s="6"/>
      <c r="D54" s="5" t="s">
        <v>43</v>
      </c>
      <c r="E54" s="6" t="s">
        <v>115</v>
      </c>
      <c r="F54" s="5" t="s">
        <v>45</v>
      </c>
      <c r="G54" s="7"/>
    </row>
    <row r="55" spans="1:7" x14ac:dyDescent="0.25">
      <c r="A55" s="5"/>
      <c r="B55" s="6"/>
      <c r="D55" s="5" t="s">
        <v>116</v>
      </c>
      <c r="E55" s="6" t="s">
        <v>117</v>
      </c>
      <c r="F55" s="5" t="s">
        <v>45</v>
      </c>
      <c r="G55" s="7"/>
    </row>
    <row r="56" spans="1:7" x14ac:dyDescent="0.25">
      <c r="A56" s="5"/>
      <c r="B56" s="6"/>
      <c r="D56" s="5" t="s">
        <v>116</v>
      </c>
      <c r="E56" s="6" t="s">
        <v>118</v>
      </c>
      <c r="F56" s="5" t="s">
        <v>45</v>
      </c>
      <c r="G56" s="7"/>
    </row>
    <row r="57" spans="1:7" x14ac:dyDescent="0.25">
      <c r="A57" s="5"/>
      <c r="B57" s="6"/>
      <c r="D57" s="5" t="s">
        <v>116</v>
      </c>
      <c r="E57" s="6" t="s">
        <v>119</v>
      </c>
      <c r="F57" s="5" t="s">
        <v>45</v>
      </c>
      <c r="G57" s="7"/>
    </row>
    <row r="58" spans="1:7" x14ac:dyDescent="0.25">
      <c r="A58" s="5"/>
      <c r="B58" s="6"/>
      <c r="D58" s="5" t="s">
        <v>116</v>
      </c>
      <c r="E58" s="6" t="s">
        <v>120</v>
      </c>
      <c r="F58" s="5" t="s">
        <v>45</v>
      </c>
      <c r="G58" s="7"/>
    </row>
    <row r="59" spans="1:7" x14ac:dyDescent="0.25">
      <c r="A59" s="5"/>
      <c r="B59" s="6"/>
      <c r="D59" s="5" t="s">
        <v>116</v>
      </c>
      <c r="E59" s="6" t="s">
        <v>121</v>
      </c>
      <c r="F59" s="5" t="s">
        <v>45</v>
      </c>
      <c r="G59" s="7"/>
    </row>
    <row r="60" spans="1:7" x14ac:dyDescent="0.25">
      <c r="A60" s="5"/>
      <c r="B60" s="6"/>
      <c r="D60" s="5" t="s">
        <v>116</v>
      </c>
      <c r="E60" s="6" t="s">
        <v>122</v>
      </c>
      <c r="F60" s="5" t="s">
        <v>45</v>
      </c>
      <c r="G60" s="7"/>
    </row>
    <row r="61" spans="1:7" x14ac:dyDescent="0.25">
      <c r="A61" s="5"/>
      <c r="B61" s="6"/>
      <c r="D61" s="5" t="s">
        <v>116</v>
      </c>
      <c r="E61" s="6" t="s">
        <v>123</v>
      </c>
      <c r="F61" s="5" t="s">
        <v>45</v>
      </c>
      <c r="G61" s="7"/>
    </row>
    <row r="62" spans="1:7" x14ac:dyDescent="0.25">
      <c r="A62" s="5"/>
      <c r="B62" s="6"/>
      <c r="D62" s="5" t="s">
        <v>116</v>
      </c>
      <c r="E62" s="6" t="s">
        <v>124</v>
      </c>
      <c r="F62" s="5" t="s">
        <v>45</v>
      </c>
      <c r="G62" s="7"/>
    </row>
    <row r="63" spans="1:7" x14ac:dyDescent="0.25">
      <c r="A63" s="5"/>
      <c r="B63" s="6"/>
      <c r="D63" s="5" t="s">
        <v>116</v>
      </c>
      <c r="E63" s="6" t="s">
        <v>125</v>
      </c>
      <c r="F63" s="5" t="s">
        <v>53</v>
      </c>
      <c r="G63" s="7"/>
    </row>
    <row r="64" spans="1:7" x14ac:dyDescent="0.25">
      <c r="A64" s="5"/>
      <c r="B64" s="6"/>
      <c r="D64" s="5" t="s">
        <v>116</v>
      </c>
      <c r="E64" s="6" t="s">
        <v>126</v>
      </c>
      <c r="F64" s="5" t="s">
        <v>53</v>
      </c>
      <c r="G64" s="7"/>
    </row>
    <row r="65" spans="1:7" x14ac:dyDescent="0.25">
      <c r="A65" s="5"/>
      <c r="B65" s="6"/>
      <c r="D65" s="5" t="s">
        <v>116</v>
      </c>
      <c r="E65" s="6" t="s">
        <v>127</v>
      </c>
      <c r="F65" s="5" t="s">
        <v>45</v>
      </c>
      <c r="G65" s="7"/>
    </row>
    <row r="66" spans="1:7" x14ac:dyDescent="0.25">
      <c r="A66" s="5"/>
      <c r="B66" s="6"/>
      <c r="D66" s="5" t="s">
        <v>116</v>
      </c>
      <c r="E66" s="6" t="s">
        <v>128</v>
      </c>
      <c r="F66" s="5" t="s">
        <v>45</v>
      </c>
      <c r="G66" s="7"/>
    </row>
    <row r="67" spans="1:7" x14ac:dyDescent="0.25">
      <c r="A67" s="5"/>
      <c r="B67" s="6"/>
      <c r="D67" s="5" t="s">
        <v>116</v>
      </c>
      <c r="E67" s="6" t="s">
        <v>129</v>
      </c>
      <c r="F67" s="5" t="s">
        <v>45</v>
      </c>
      <c r="G67" s="7"/>
    </row>
    <row r="68" spans="1:7" x14ac:dyDescent="0.25">
      <c r="A68" s="5"/>
      <c r="B68" s="6"/>
      <c r="D68" s="5" t="s">
        <v>116</v>
      </c>
      <c r="E68" s="6" t="s">
        <v>130</v>
      </c>
      <c r="F68" s="5" t="s">
        <v>53</v>
      </c>
      <c r="G68" s="7"/>
    </row>
    <row r="69" spans="1:7" x14ac:dyDescent="0.25">
      <c r="A69" s="5"/>
      <c r="B69" s="6"/>
      <c r="D69" s="5" t="s">
        <v>116</v>
      </c>
      <c r="E69" s="6" t="s">
        <v>131</v>
      </c>
      <c r="F69" s="5" t="s">
        <v>53</v>
      </c>
      <c r="G69" s="7"/>
    </row>
    <row r="70" spans="1:7" x14ac:dyDescent="0.25">
      <c r="A70" s="5"/>
      <c r="B70" s="6"/>
      <c r="D70" s="5" t="s">
        <v>132</v>
      </c>
      <c r="E70" s="6" t="s">
        <v>133</v>
      </c>
      <c r="F70" s="5" t="s">
        <v>53</v>
      </c>
      <c r="G70" s="7"/>
    </row>
    <row r="71" spans="1:7" x14ac:dyDescent="0.25">
      <c r="A71" s="5"/>
      <c r="B71" s="6"/>
      <c r="D71" s="5" t="s">
        <v>132</v>
      </c>
      <c r="E71" s="6" t="s">
        <v>134</v>
      </c>
      <c r="F71" s="5" t="s">
        <v>53</v>
      </c>
      <c r="G71" s="7"/>
    </row>
    <row r="72" spans="1:7" x14ac:dyDescent="0.25">
      <c r="A72" s="5"/>
      <c r="B72" s="6"/>
      <c r="D72" s="5" t="s">
        <v>132</v>
      </c>
      <c r="E72" s="6" t="s">
        <v>135</v>
      </c>
      <c r="F72" s="5" t="s">
        <v>53</v>
      </c>
      <c r="G72" s="7"/>
    </row>
    <row r="73" spans="1:7" x14ac:dyDescent="0.25">
      <c r="A73" s="5"/>
      <c r="B73" s="6"/>
      <c r="D73" s="5" t="s">
        <v>132</v>
      </c>
      <c r="E73" s="6" t="s">
        <v>136</v>
      </c>
      <c r="F73" s="5" t="s">
        <v>53</v>
      </c>
      <c r="G73" s="7"/>
    </row>
    <row r="74" spans="1:7" x14ac:dyDescent="0.25">
      <c r="A74" s="5"/>
      <c r="B74" s="6"/>
      <c r="D74" s="5" t="s">
        <v>132</v>
      </c>
      <c r="E74" s="6" t="s">
        <v>137</v>
      </c>
      <c r="F74" s="5" t="s">
        <v>53</v>
      </c>
      <c r="G74" s="7"/>
    </row>
    <row r="75" spans="1:7" x14ac:dyDescent="0.25">
      <c r="A75" s="5"/>
      <c r="B75" s="6"/>
      <c r="D75" s="5" t="s">
        <v>132</v>
      </c>
      <c r="E75" s="6" t="s">
        <v>138</v>
      </c>
      <c r="F75" s="5" t="s">
        <v>53</v>
      </c>
      <c r="G75" s="7"/>
    </row>
    <row r="76" spans="1:7" x14ac:dyDescent="0.25">
      <c r="A76" s="5"/>
      <c r="B76" s="6"/>
      <c r="D76" s="5" t="s">
        <v>132</v>
      </c>
      <c r="E76" s="6" t="s">
        <v>139</v>
      </c>
      <c r="F76" s="5" t="s">
        <v>53</v>
      </c>
      <c r="G76" s="7"/>
    </row>
    <row r="77" spans="1:7" x14ac:dyDescent="0.25">
      <c r="A77" s="5"/>
      <c r="B77" s="6"/>
      <c r="D77" s="5"/>
      <c r="E77" s="6"/>
      <c r="F77" s="5"/>
      <c r="G77" s="7"/>
    </row>
    <row r="78" spans="1:7" x14ac:dyDescent="0.25">
      <c r="A78" s="5"/>
      <c r="B78" s="6"/>
      <c r="D78" s="5"/>
      <c r="E78" s="6"/>
      <c r="F78" s="5"/>
      <c r="G78" s="7"/>
    </row>
    <row r="79" spans="1:7" x14ac:dyDescent="0.25">
      <c r="A79" s="5"/>
      <c r="B79" s="6"/>
      <c r="D79" s="5"/>
      <c r="E79" s="6"/>
      <c r="F79" s="5"/>
      <c r="G79" s="7"/>
    </row>
    <row r="80" spans="1:7" x14ac:dyDescent="0.25">
      <c r="A80" s="5"/>
      <c r="B80" s="6"/>
      <c r="D80" s="5"/>
      <c r="E80" s="6"/>
      <c r="F80" s="5"/>
      <c r="G80" s="7"/>
    </row>
    <row r="81" spans="1:7" x14ac:dyDescent="0.25">
      <c r="A81" s="5"/>
      <c r="B81" s="6"/>
      <c r="D81" s="5"/>
      <c r="E81" s="6"/>
      <c r="F81" s="5"/>
      <c r="G81" s="7"/>
    </row>
    <row r="82" spans="1:7" x14ac:dyDescent="0.25">
      <c r="A82" s="5"/>
      <c r="B82" s="6"/>
      <c r="D82" s="5"/>
      <c r="E82" s="6"/>
      <c r="F82" s="5"/>
      <c r="G82" s="7"/>
    </row>
    <row r="83" spans="1:7" x14ac:dyDescent="0.25">
      <c r="A83" s="5"/>
      <c r="B83" s="6"/>
      <c r="D83" s="5"/>
      <c r="E83" s="6"/>
      <c r="F83" s="5"/>
      <c r="G83" s="7"/>
    </row>
    <row r="84" spans="1:7" x14ac:dyDescent="0.25">
      <c r="A84" s="5"/>
      <c r="B84" s="6"/>
      <c r="D84" s="5"/>
      <c r="E84" s="6"/>
      <c r="F84" s="5"/>
      <c r="G84" s="7"/>
    </row>
    <row r="85" spans="1:7" x14ac:dyDescent="0.25">
      <c r="A85" s="5"/>
      <c r="B85" s="6"/>
      <c r="D85" s="5"/>
      <c r="E85" s="6"/>
      <c r="F85" s="5"/>
      <c r="G85" s="7"/>
    </row>
    <row r="86" spans="1:7" x14ac:dyDescent="0.25">
      <c r="A86" s="5"/>
      <c r="B86" s="6"/>
      <c r="D86" s="5"/>
      <c r="E86" s="6"/>
      <c r="F86" s="5"/>
      <c r="G86" s="7"/>
    </row>
    <row r="87" spans="1:7" x14ac:dyDescent="0.25">
      <c r="A87" s="5"/>
      <c r="B87" s="6"/>
      <c r="D87" s="5"/>
      <c r="E87" s="6"/>
      <c r="F87" s="5"/>
      <c r="G87" s="7"/>
    </row>
    <row r="88" spans="1:7" x14ac:dyDescent="0.25">
      <c r="A88" s="5"/>
      <c r="B88" s="6"/>
      <c r="D88" s="5"/>
      <c r="E88" s="6"/>
      <c r="F88" s="5"/>
      <c r="G88" s="7"/>
    </row>
    <row r="89" spans="1:7" x14ac:dyDescent="0.25">
      <c r="A89" s="5"/>
      <c r="B89" s="6"/>
      <c r="D89" s="5"/>
      <c r="E89" s="6"/>
      <c r="F89" s="5"/>
      <c r="G89" s="7"/>
    </row>
    <row r="90" spans="1:7" x14ac:dyDescent="0.25">
      <c r="A90" s="5"/>
      <c r="B90" s="6"/>
      <c r="D90" s="5"/>
      <c r="E90" s="6"/>
      <c r="F90" s="5"/>
      <c r="G90" s="7"/>
    </row>
    <row r="91" spans="1:7" x14ac:dyDescent="0.25">
      <c r="A91" s="5"/>
      <c r="B91" s="6"/>
      <c r="D91" s="5"/>
      <c r="E91" s="6"/>
      <c r="F91" s="5"/>
      <c r="G91" s="7"/>
    </row>
    <row r="92" spans="1:7" x14ac:dyDescent="0.25">
      <c r="A92" s="5"/>
      <c r="B92" s="6"/>
      <c r="D92" s="5"/>
      <c r="E92" s="6"/>
      <c r="F92" s="5"/>
      <c r="G92" s="7"/>
    </row>
    <row r="93" spans="1:7" x14ac:dyDescent="0.25">
      <c r="A93" s="5"/>
      <c r="B93" s="6"/>
      <c r="D93" s="5"/>
      <c r="E93" s="6"/>
      <c r="F93" s="5"/>
      <c r="G93" s="7"/>
    </row>
    <row r="94" spans="1:7" x14ac:dyDescent="0.25">
      <c r="A94" s="5"/>
      <c r="B94" s="6"/>
      <c r="D94" s="5"/>
      <c r="E94" s="6"/>
      <c r="F94" s="5"/>
      <c r="G94" s="7"/>
    </row>
    <row r="95" spans="1:7" x14ac:dyDescent="0.25">
      <c r="A95" s="5"/>
      <c r="B95" s="6"/>
      <c r="D95" s="5"/>
      <c r="E95" s="6"/>
      <c r="F95" s="5"/>
      <c r="G95" s="7"/>
    </row>
    <row r="96" spans="1:7" x14ac:dyDescent="0.25">
      <c r="A96" s="5"/>
      <c r="B96" s="6"/>
      <c r="D96" s="5"/>
      <c r="E96" s="6"/>
      <c r="F96" s="5"/>
      <c r="G96" s="7"/>
    </row>
    <row r="97" spans="1:7" x14ac:dyDescent="0.25">
      <c r="A97" s="5"/>
      <c r="B97" s="6"/>
      <c r="D97" s="5"/>
      <c r="E97" s="6"/>
      <c r="F97" s="5"/>
      <c r="G97" s="7"/>
    </row>
    <row r="98" spans="1:7" x14ac:dyDescent="0.25">
      <c r="A98" s="5"/>
      <c r="B98" s="6"/>
      <c r="D98" s="5"/>
      <c r="E98" s="6"/>
      <c r="F98" s="5"/>
      <c r="G98" s="7"/>
    </row>
    <row r="99" spans="1:7" x14ac:dyDescent="0.25">
      <c r="A99" s="5"/>
      <c r="B99" s="6"/>
      <c r="D99" s="5"/>
      <c r="E99" s="6"/>
      <c r="F99" s="5"/>
      <c r="G99" s="7"/>
    </row>
    <row r="100" spans="1:7" x14ac:dyDescent="0.25">
      <c r="A100" s="5"/>
      <c r="B100" s="6"/>
      <c r="D100" s="5"/>
      <c r="E100" s="6"/>
      <c r="F100" s="5"/>
      <c r="G100" s="7"/>
    </row>
    <row r="101" spans="1:7" x14ac:dyDescent="0.25">
      <c r="D101" s="5"/>
      <c r="E101" s="6"/>
      <c r="F101" s="5"/>
      <c r="G101" s="7"/>
    </row>
    <row r="102" spans="1:7" x14ac:dyDescent="0.25">
      <c r="D102" s="5"/>
      <c r="E102" s="6"/>
      <c r="F102" s="5"/>
      <c r="G102" s="7"/>
    </row>
    <row r="103" spans="1:7" x14ac:dyDescent="0.25">
      <c r="D103" s="5"/>
      <c r="E103" s="6"/>
      <c r="F103" s="5"/>
      <c r="G103" s="7"/>
    </row>
    <row r="104" spans="1:7" x14ac:dyDescent="0.25">
      <c r="D104" s="5"/>
      <c r="E104" s="6"/>
      <c r="F104" s="5"/>
      <c r="G104" s="7"/>
    </row>
    <row r="105" spans="1:7" x14ac:dyDescent="0.25">
      <c r="D105" s="5"/>
      <c r="E105" s="6"/>
      <c r="F105" s="5"/>
      <c r="G105" s="7"/>
    </row>
    <row r="106" spans="1:7" x14ac:dyDescent="0.25">
      <c r="D106" s="5"/>
      <c r="E106" s="6"/>
      <c r="F106" s="5"/>
      <c r="G106" s="7"/>
    </row>
    <row r="107" spans="1:7" x14ac:dyDescent="0.25">
      <c r="D107" s="5"/>
      <c r="E107" s="6"/>
      <c r="F107" s="5"/>
      <c r="G107" s="7"/>
    </row>
    <row r="108" spans="1:7" x14ac:dyDescent="0.25">
      <c r="D108" s="5"/>
      <c r="E108" s="6"/>
      <c r="F108" s="5"/>
      <c r="G108" s="7"/>
    </row>
    <row r="109" spans="1:7" x14ac:dyDescent="0.25">
      <c r="D109" s="5"/>
      <c r="E109" s="6"/>
      <c r="F109" s="5"/>
      <c r="G109" s="7"/>
    </row>
    <row r="110" spans="1:7" x14ac:dyDescent="0.25">
      <c r="D110" s="5"/>
      <c r="E110" s="6"/>
      <c r="F110" s="5"/>
      <c r="G110" s="7"/>
    </row>
    <row r="111" spans="1:7" x14ac:dyDescent="0.25">
      <c r="D111" s="5"/>
      <c r="E111" s="6"/>
      <c r="F111" s="5"/>
      <c r="G111" s="7"/>
    </row>
    <row r="112" spans="1:7" x14ac:dyDescent="0.25">
      <c r="D112" s="5"/>
      <c r="E112" s="6"/>
      <c r="F112" s="5"/>
      <c r="G112" s="7"/>
    </row>
    <row r="113" spans="4:7" x14ac:dyDescent="0.25">
      <c r="D113" s="5"/>
      <c r="E113" s="6"/>
      <c r="F113" s="5"/>
      <c r="G113" s="7"/>
    </row>
    <row r="114" spans="4:7" x14ac:dyDescent="0.25">
      <c r="D114" s="5"/>
      <c r="E114" s="6"/>
      <c r="F114" s="5"/>
      <c r="G114" s="7"/>
    </row>
    <row r="115" spans="4:7" x14ac:dyDescent="0.25">
      <c r="D115" s="5"/>
      <c r="E115" s="6"/>
      <c r="F115" s="5"/>
      <c r="G115" s="7"/>
    </row>
    <row r="116" spans="4:7" x14ac:dyDescent="0.25">
      <c r="D116" s="5"/>
      <c r="E116" s="6"/>
      <c r="F116" s="5"/>
      <c r="G116" s="7"/>
    </row>
    <row r="117" spans="4:7" x14ac:dyDescent="0.25">
      <c r="D117" s="5"/>
      <c r="E117" s="6"/>
      <c r="F117" s="5"/>
      <c r="G117" s="7"/>
    </row>
    <row r="118" spans="4:7" x14ac:dyDescent="0.25">
      <c r="D118" s="5"/>
      <c r="E118" s="6"/>
      <c r="F118" s="5"/>
      <c r="G118" s="7"/>
    </row>
    <row r="119" spans="4:7" x14ac:dyDescent="0.25">
      <c r="D119" s="5"/>
      <c r="E119" s="6"/>
      <c r="F119" s="5"/>
      <c r="G119" s="7"/>
    </row>
    <row r="120" spans="4:7" x14ac:dyDescent="0.25">
      <c r="D120" s="5"/>
      <c r="E120" s="6"/>
      <c r="F120" s="5"/>
      <c r="G120" s="7"/>
    </row>
    <row r="121" spans="4:7" x14ac:dyDescent="0.25">
      <c r="D121" s="5"/>
      <c r="E121" s="6"/>
      <c r="F121" s="5"/>
      <c r="G121" s="7"/>
    </row>
    <row r="122" spans="4:7" x14ac:dyDescent="0.25">
      <c r="D122" s="5"/>
      <c r="E122" s="6"/>
      <c r="F122" s="5"/>
      <c r="G122" s="7"/>
    </row>
    <row r="123" spans="4:7" x14ac:dyDescent="0.25">
      <c r="D123" s="5"/>
      <c r="E123" s="6"/>
      <c r="F123" s="5"/>
      <c r="G123" s="7"/>
    </row>
    <row r="124" spans="4:7" x14ac:dyDescent="0.25">
      <c r="D124" s="5"/>
      <c r="E124" s="6"/>
      <c r="F124" s="5"/>
      <c r="G124" s="7"/>
    </row>
    <row r="125" spans="4:7" x14ac:dyDescent="0.25">
      <c r="D125" s="5"/>
      <c r="E125" s="6"/>
      <c r="F125" s="5"/>
      <c r="G125" s="7"/>
    </row>
    <row r="126" spans="4:7" x14ac:dyDescent="0.25">
      <c r="D126" s="5"/>
      <c r="E126" s="6"/>
      <c r="F126" s="5"/>
      <c r="G126" s="7"/>
    </row>
    <row r="127" spans="4:7" x14ac:dyDescent="0.25">
      <c r="D127" s="5"/>
      <c r="E127" s="6"/>
      <c r="F127" s="5"/>
      <c r="G127" s="7"/>
    </row>
    <row r="128" spans="4:7" x14ac:dyDescent="0.25">
      <c r="D128" s="5"/>
      <c r="E128" s="6"/>
      <c r="F128" s="5"/>
      <c r="G128" s="7"/>
    </row>
    <row r="129" spans="4:7" x14ac:dyDescent="0.25">
      <c r="D129" s="5"/>
      <c r="E129" s="6"/>
      <c r="F129" s="5"/>
      <c r="G129" s="7"/>
    </row>
    <row r="130" spans="4:7" x14ac:dyDescent="0.25">
      <c r="D130" s="5"/>
      <c r="E130" s="6"/>
      <c r="F130" s="5"/>
      <c r="G130" s="7"/>
    </row>
    <row r="131" spans="4:7" x14ac:dyDescent="0.25">
      <c r="D131" s="5"/>
      <c r="E131" s="6"/>
      <c r="F131" s="5"/>
      <c r="G131" s="7"/>
    </row>
    <row r="132" spans="4:7" x14ac:dyDescent="0.25">
      <c r="D132" s="5"/>
      <c r="E132" s="6"/>
      <c r="F132" s="5"/>
      <c r="G132" s="7"/>
    </row>
    <row r="133" spans="4:7" x14ac:dyDescent="0.25">
      <c r="D133" s="5"/>
      <c r="E133" s="6"/>
      <c r="F133" s="5"/>
      <c r="G133" s="7"/>
    </row>
    <row r="134" spans="4:7" x14ac:dyDescent="0.25">
      <c r="D134" s="5"/>
      <c r="E134" s="6"/>
      <c r="F134" s="5"/>
      <c r="G134" s="7"/>
    </row>
    <row r="135" spans="4:7" x14ac:dyDescent="0.25">
      <c r="D135" s="5"/>
      <c r="E135" s="6"/>
      <c r="F135" s="5"/>
      <c r="G135" s="7"/>
    </row>
    <row r="136" spans="4:7" x14ac:dyDescent="0.25">
      <c r="D136" s="5"/>
      <c r="E136" s="6"/>
      <c r="F136" s="5"/>
      <c r="G136" s="7"/>
    </row>
    <row r="137" spans="4:7" x14ac:dyDescent="0.25">
      <c r="D137" s="5"/>
      <c r="E137" s="6"/>
      <c r="F137" s="5"/>
      <c r="G137" s="7"/>
    </row>
    <row r="138" spans="4:7" x14ac:dyDescent="0.25">
      <c r="D138" s="5"/>
      <c r="E138" s="6"/>
      <c r="F138" s="5"/>
      <c r="G138" s="7"/>
    </row>
    <row r="139" spans="4:7" x14ac:dyDescent="0.25">
      <c r="D139" s="5"/>
      <c r="E139" s="6"/>
      <c r="F139" s="5"/>
      <c r="G139" s="7"/>
    </row>
    <row r="140" spans="4:7" x14ac:dyDescent="0.25">
      <c r="D140" s="5"/>
      <c r="E140" s="6"/>
      <c r="F140" s="5"/>
      <c r="G140" s="7"/>
    </row>
    <row r="141" spans="4:7" x14ac:dyDescent="0.25">
      <c r="D141" s="5"/>
      <c r="E141" s="6"/>
      <c r="F141" s="5"/>
      <c r="G141" s="7"/>
    </row>
    <row r="142" spans="4:7" x14ac:dyDescent="0.25">
      <c r="D142" s="5"/>
      <c r="E142" s="6"/>
      <c r="F142" s="5"/>
      <c r="G142" s="7"/>
    </row>
    <row r="143" spans="4:7" x14ac:dyDescent="0.25">
      <c r="D143" s="5"/>
      <c r="E143" s="6"/>
      <c r="F143" s="5"/>
      <c r="G143" s="7"/>
    </row>
    <row r="144" spans="4:7" x14ac:dyDescent="0.25">
      <c r="D144" s="5"/>
      <c r="E144" s="6"/>
      <c r="F144" s="5"/>
      <c r="G144" s="7"/>
    </row>
    <row r="145" spans="4:7" x14ac:dyDescent="0.25">
      <c r="D145" s="5"/>
      <c r="E145" s="6"/>
      <c r="F145" s="5"/>
      <c r="G145" s="7"/>
    </row>
    <row r="146" spans="4:7" x14ac:dyDescent="0.25">
      <c r="D146" s="5"/>
      <c r="E146" s="6"/>
      <c r="F146" s="5"/>
      <c r="G146" s="7"/>
    </row>
    <row r="147" spans="4:7" x14ac:dyDescent="0.25">
      <c r="D147" s="5"/>
      <c r="E147" s="6"/>
      <c r="F147" s="5"/>
      <c r="G147" s="7"/>
    </row>
    <row r="148" spans="4:7" x14ac:dyDescent="0.25">
      <c r="D148" s="5"/>
      <c r="E148" s="6"/>
      <c r="F148" s="5"/>
      <c r="G148" s="7"/>
    </row>
    <row r="149" spans="4:7" x14ac:dyDescent="0.25">
      <c r="D149" s="5"/>
      <c r="E149" s="6"/>
      <c r="F149" s="5"/>
      <c r="G149" s="7"/>
    </row>
    <row r="150" spans="4:7" x14ac:dyDescent="0.25">
      <c r="D150" s="5"/>
      <c r="E150" s="6"/>
      <c r="F150" s="5"/>
      <c r="G150" s="7"/>
    </row>
    <row r="151" spans="4:7" x14ac:dyDescent="0.25">
      <c r="D151" s="5"/>
      <c r="E151" s="6"/>
      <c r="F151" s="5"/>
      <c r="G151" s="7"/>
    </row>
    <row r="152" spans="4:7" x14ac:dyDescent="0.25">
      <c r="D152" s="5"/>
      <c r="E152" s="6"/>
      <c r="F152" s="5"/>
      <c r="G152" s="7"/>
    </row>
    <row r="153" spans="4:7" x14ac:dyDescent="0.25">
      <c r="D153" s="5"/>
      <c r="E153" s="6"/>
      <c r="F153" s="5"/>
      <c r="G153" s="7"/>
    </row>
    <row r="154" spans="4:7" x14ac:dyDescent="0.25">
      <c r="D154" s="5"/>
      <c r="E154" s="6"/>
      <c r="F154" s="5"/>
      <c r="G154" s="7"/>
    </row>
    <row r="155" spans="4:7" x14ac:dyDescent="0.25">
      <c r="D155" s="5"/>
      <c r="E155" s="6"/>
      <c r="F155" s="5"/>
      <c r="G155" s="7"/>
    </row>
    <row r="156" spans="4:7" x14ac:dyDescent="0.25">
      <c r="D156" s="5"/>
      <c r="E156" s="6"/>
      <c r="F156" s="5"/>
      <c r="G156" s="7"/>
    </row>
    <row r="157" spans="4:7" x14ac:dyDescent="0.25">
      <c r="D157" s="5"/>
      <c r="E157" s="6"/>
      <c r="F157" s="5"/>
      <c r="G157" s="7"/>
    </row>
    <row r="158" spans="4:7" x14ac:dyDescent="0.25">
      <c r="D158" s="5"/>
      <c r="E158" s="6"/>
      <c r="F158" s="5"/>
      <c r="G158" s="7"/>
    </row>
    <row r="159" spans="4:7" x14ac:dyDescent="0.25">
      <c r="D159" s="5"/>
      <c r="E159" s="6"/>
      <c r="F159" s="5"/>
      <c r="G159" s="7"/>
    </row>
    <row r="160" spans="4:7" x14ac:dyDescent="0.25">
      <c r="D160" s="5"/>
      <c r="E160" s="6"/>
      <c r="F160" s="5"/>
      <c r="G160" s="7"/>
    </row>
    <row r="161" spans="4:7" x14ac:dyDescent="0.25">
      <c r="D161" s="5"/>
      <c r="E161" s="6"/>
      <c r="F161" s="5"/>
      <c r="G161" s="7"/>
    </row>
    <row r="162" spans="4:7" x14ac:dyDescent="0.25">
      <c r="D162" s="5"/>
      <c r="E162" s="6"/>
      <c r="F162" s="5"/>
      <c r="G162" s="7"/>
    </row>
    <row r="163" spans="4:7" x14ac:dyDescent="0.25">
      <c r="D163" s="5"/>
      <c r="E163" s="6"/>
      <c r="F163" s="5"/>
      <c r="G163" s="7"/>
    </row>
    <row r="164" spans="4:7" x14ac:dyDescent="0.25">
      <c r="D164" s="5"/>
      <c r="E164" s="6"/>
      <c r="F164" s="5"/>
      <c r="G164" s="7"/>
    </row>
    <row r="165" spans="4:7" x14ac:dyDescent="0.25">
      <c r="D165" s="5"/>
      <c r="E165" s="6"/>
      <c r="F165" s="5"/>
      <c r="G165" s="7"/>
    </row>
    <row r="166" spans="4:7" x14ac:dyDescent="0.25">
      <c r="D166" s="5"/>
      <c r="E166" s="6"/>
      <c r="F166" s="5"/>
      <c r="G166" s="7"/>
    </row>
    <row r="167" spans="4:7" x14ac:dyDescent="0.25">
      <c r="D167" s="5"/>
      <c r="E167" s="6"/>
      <c r="F167" s="5"/>
      <c r="G167" s="7"/>
    </row>
    <row r="168" spans="4:7" x14ac:dyDescent="0.25">
      <c r="D168" s="5"/>
      <c r="E168" s="6"/>
      <c r="F168" s="5"/>
      <c r="G168" s="7"/>
    </row>
    <row r="169" spans="4:7" x14ac:dyDescent="0.25">
      <c r="D169" s="5"/>
      <c r="E169" s="6"/>
      <c r="F169" s="5"/>
      <c r="G169" s="7"/>
    </row>
    <row r="170" spans="4:7" x14ac:dyDescent="0.25">
      <c r="D170" s="5"/>
      <c r="E170" s="6"/>
      <c r="F170" s="5"/>
      <c r="G170" s="7"/>
    </row>
    <row r="171" spans="4:7" x14ac:dyDescent="0.25">
      <c r="D171" s="5"/>
      <c r="E171" s="6"/>
      <c r="F171" s="5"/>
      <c r="G171" s="7"/>
    </row>
    <row r="172" spans="4:7" x14ac:dyDescent="0.25">
      <c r="D172" s="5"/>
      <c r="E172" s="6"/>
      <c r="F172" s="5"/>
      <c r="G172" s="7"/>
    </row>
    <row r="173" spans="4:7" x14ac:dyDescent="0.25">
      <c r="D173" s="5"/>
      <c r="E173" s="6"/>
      <c r="F173" s="5"/>
      <c r="G173" s="7"/>
    </row>
    <row r="174" spans="4:7" x14ac:dyDescent="0.25">
      <c r="D174" s="5"/>
      <c r="E174" s="6"/>
      <c r="F174" s="5"/>
      <c r="G174" s="7"/>
    </row>
    <row r="175" spans="4:7" x14ac:dyDescent="0.25">
      <c r="D175" s="5"/>
      <c r="E175" s="6"/>
      <c r="F175" s="5"/>
      <c r="G175" s="7"/>
    </row>
    <row r="176" spans="4:7" x14ac:dyDescent="0.25">
      <c r="D176" s="5"/>
      <c r="E176" s="6"/>
      <c r="F176" s="5"/>
      <c r="G176" s="7"/>
    </row>
    <row r="177" spans="4:7" x14ac:dyDescent="0.25">
      <c r="D177" s="5"/>
      <c r="E177" s="6"/>
      <c r="F177" s="5"/>
      <c r="G177" s="7"/>
    </row>
    <row r="178" spans="4:7" x14ac:dyDescent="0.25">
      <c r="D178" s="5"/>
      <c r="E178" s="6"/>
      <c r="F178" s="5"/>
      <c r="G178" s="7"/>
    </row>
    <row r="179" spans="4:7" x14ac:dyDescent="0.25">
      <c r="D179" s="5"/>
      <c r="E179" s="6"/>
      <c r="F179" s="5"/>
      <c r="G179" s="7"/>
    </row>
    <row r="180" spans="4:7" x14ac:dyDescent="0.25">
      <c r="D180" s="5"/>
      <c r="E180" s="6"/>
      <c r="F180" s="5"/>
      <c r="G180" s="7"/>
    </row>
    <row r="181" spans="4:7" x14ac:dyDescent="0.25">
      <c r="D181" s="5"/>
      <c r="E181" s="6"/>
      <c r="F181" s="5"/>
      <c r="G181" s="7"/>
    </row>
    <row r="182" spans="4:7" x14ac:dyDescent="0.25">
      <c r="D182" s="5"/>
      <c r="E182" s="6"/>
      <c r="F182" s="5"/>
      <c r="G182" s="7"/>
    </row>
    <row r="183" spans="4:7" x14ac:dyDescent="0.25">
      <c r="D183" s="5"/>
      <c r="E183" s="6"/>
      <c r="F183" s="5"/>
      <c r="G183" s="7"/>
    </row>
    <row r="184" spans="4:7" x14ac:dyDescent="0.25">
      <c r="D184" s="5"/>
      <c r="E184" s="6"/>
      <c r="F184" s="5"/>
      <c r="G184" s="7"/>
    </row>
    <row r="185" spans="4:7" x14ac:dyDescent="0.25">
      <c r="D185" s="5"/>
      <c r="E185" s="6"/>
      <c r="F185" s="5"/>
      <c r="G185" s="7"/>
    </row>
    <row r="186" spans="4:7" x14ac:dyDescent="0.25">
      <c r="D186" s="5"/>
      <c r="E186" s="6"/>
      <c r="F186" s="5"/>
      <c r="G186" s="7"/>
    </row>
    <row r="187" spans="4:7" x14ac:dyDescent="0.25">
      <c r="D187" s="5"/>
      <c r="E187" s="6"/>
      <c r="F187" s="5"/>
      <c r="G187" s="7"/>
    </row>
    <row r="188" spans="4:7" x14ac:dyDescent="0.25">
      <c r="D188" s="5"/>
      <c r="E188" s="6"/>
      <c r="F188" s="5"/>
      <c r="G188" s="7"/>
    </row>
    <row r="189" spans="4:7" x14ac:dyDescent="0.25">
      <c r="D189" s="5"/>
      <c r="E189" s="6"/>
      <c r="F189" s="5"/>
      <c r="G189" s="7"/>
    </row>
    <row r="190" spans="4:7" x14ac:dyDescent="0.25">
      <c r="D190" s="5"/>
      <c r="E190" s="6"/>
      <c r="F190" s="5"/>
      <c r="G190" s="7"/>
    </row>
    <row r="191" spans="4:7" x14ac:dyDescent="0.25">
      <c r="D191" s="5"/>
      <c r="E191" s="6"/>
      <c r="F191" s="5"/>
      <c r="G191" s="7"/>
    </row>
    <row r="192" spans="4:7" x14ac:dyDescent="0.25">
      <c r="D192" s="5"/>
      <c r="E192" s="6"/>
      <c r="F192" s="5"/>
      <c r="G192" s="7"/>
    </row>
    <row r="193" spans="4:7" x14ac:dyDescent="0.25">
      <c r="D193" s="5"/>
      <c r="E193" s="6"/>
      <c r="F193" s="5"/>
      <c r="G193" s="7"/>
    </row>
    <row r="194" spans="4:7" x14ac:dyDescent="0.25">
      <c r="D194" s="5"/>
      <c r="E194" s="6"/>
      <c r="F194" s="5"/>
      <c r="G194" s="7"/>
    </row>
    <row r="195" spans="4:7" x14ac:dyDescent="0.25">
      <c r="D195" s="5"/>
      <c r="E195" s="6"/>
      <c r="F195" s="5"/>
      <c r="G195" s="7"/>
    </row>
    <row r="196" spans="4:7" x14ac:dyDescent="0.25">
      <c r="D196" s="5"/>
      <c r="E196" s="6"/>
      <c r="F196" s="5"/>
      <c r="G196" s="7"/>
    </row>
    <row r="197" spans="4:7" x14ac:dyDescent="0.25">
      <c r="D197" s="5"/>
      <c r="E197" s="6"/>
      <c r="F197" s="5"/>
      <c r="G197" s="7"/>
    </row>
    <row r="198" spans="4:7" x14ac:dyDescent="0.25">
      <c r="D198" s="5"/>
      <c r="E198" s="6"/>
      <c r="F198" s="5"/>
      <c r="G198" s="7"/>
    </row>
    <row r="199" spans="4:7" x14ac:dyDescent="0.25">
      <c r="D199" s="5"/>
      <c r="E199" s="6"/>
      <c r="F199" s="5"/>
      <c r="G199" s="7"/>
    </row>
    <row r="200" spans="4:7" x14ac:dyDescent="0.25">
      <c r="D200" s="5"/>
      <c r="E200" s="6"/>
      <c r="F200" s="5"/>
      <c r="G200" s="7"/>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96"/>
  <sheetViews>
    <sheetView showGridLines="0" workbookViewId="0">
      <pane xSplit="3" ySplit="4" topLeftCell="D14" activePane="bottomRight" state="frozen"/>
      <selection pane="topRight"/>
      <selection pane="bottomLeft"/>
      <selection pane="bottomRight" activeCell="D4" sqref="D4"/>
    </sheetView>
  </sheetViews>
  <sheetFormatPr defaultRowHeight="15" x14ac:dyDescent="0.25"/>
  <cols>
    <col min="1" max="1" width="5" customWidth="1"/>
    <col min="2" max="2" width="28" customWidth="1"/>
    <col min="3" max="3" width="10" customWidth="1"/>
    <col min="4" max="15" width="11" customWidth="1"/>
    <col min="16" max="16" width="10" customWidth="1"/>
    <col min="17" max="19" width="13" hidden="1" customWidth="1"/>
  </cols>
  <sheetData>
    <row r="1" spans="1:19" ht="32.1" customHeight="1" x14ac:dyDescent="0.35">
      <c r="A1" s="15" t="s">
        <v>140</v>
      </c>
      <c r="B1" s="16"/>
      <c r="C1" s="16"/>
      <c r="D1" s="16"/>
      <c r="E1" s="16"/>
      <c r="F1" s="16"/>
      <c r="G1" s="16"/>
      <c r="H1" s="16"/>
      <c r="I1" s="16"/>
      <c r="J1" s="16"/>
      <c r="K1" s="16"/>
      <c r="L1" s="16"/>
      <c r="M1" s="16"/>
      <c r="N1" s="16"/>
      <c r="O1" s="16"/>
      <c r="P1" s="16"/>
      <c r="Q1" s="8" t="str">
        <f>IF(Master!$B$5="","",Master!$B$5)</f>
        <v>Fountainhead School</v>
      </c>
      <c r="R1" s="8" t="str">
        <f>IF(Master!$E$5="","",Master!$E$5)</f>
        <v>POTATO</v>
      </c>
      <c r="S1" s="8" t="str">
        <f>IF(Master!$I$5="","",Master!$I$5)</f>
        <v>KG</v>
      </c>
    </row>
    <row r="2" spans="1:19" ht="24" customHeight="1" x14ac:dyDescent="0.25">
      <c r="A2" s="9" t="s">
        <v>141</v>
      </c>
      <c r="B2" s="22"/>
      <c r="C2" s="23"/>
      <c r="D2" s="9" t="s">
        <v>142</v>
      </c>
      <c r="E2" s="21"/>
      <c r="F2" s="16"/>
      <c r="G2" s="16"/>
      <c r="H2" s="16"/>
      <c r="I2" s="16"/>
      <c r="J2" s="16"/>
      <c r="K2" s="16"/>
      <c r="L2" s="16"/>
      <c r="M2" s="16"/>
      <c r="N2" s="16"/>
      <c r="O2" s="16"/>
      <c r="P2" s="16"/>
      <c r="Q2" s="8" t="str">
        <f>IF(Master!$B$6="","",Master!$B$6)</f>
        <v>G International-1 (Dandi)</v>
      </c>
      <c r="R2" s="8" t="str">
        <f>IF(Master!$E$6="","",Master!$E$6)</f>
        <v>ONION</v>
      </c>
      <c r="S2" s="8" t="str">
        <f>IF(Master!$I$6="","",Master!$I$6)</f>
        <v>DOZEN</v>
      </c>
    </row>
    <row r="3" spans="1:19" ht="8.1" customHeight="1" x14ac:dyDescent="0.25">
      <c r="Q3" s="8" t="str">
        <f>IF(Master!$B$7="","",Master!$B$7)</f>
        <v>G International-2 (DG Corp)</v>
      </c>
      <c r="R3" s="8" t="str">
        <f>IF(Master!$E$7="","",Master!$E$7)</f>
        <v>TOMATO</v>
      </c>
      <c r="S3" s="8" t="str">
        <f>IF(Master!$I$7="","",Master!$I$7)</f>
        <v>PCS</v>
      </c>
    </row>
    <row r="4" spans="1:19" ht="32.1" customHeight="1" x14ac:dyDescent="0.25">
      <c r="A4" s="1" t="s">
        <v>143</v>
      </c>
      <c r="B4" s="1" t="s">
        <v>144</v>
      </c>
      <c r="C4" s="1" t="s">
        <v>145</v>
      </c>
      <c r="D4" s="11"/>
      <c r="E4" s="11"/>
      <c r="F4" s="11"/>
      <c r="G4" s="11"/>
      <c r="H4" s="11"/>
      <c r="I4" s="11"/>
      <c r="J4" s="11"/>
      <c r="K4" s="11"/>
      <c r="L4" s="11"/>
      <c r="M4" s="11"/>
      <c r="N4" s="11"/>
      <c r="O4" s="11"/>
      <c r="P4" s="1" t="s">
        <v>146</v>
      </c>
      <c r="Q4" s="8" t="str">
        <f>IF(Master!$B$8="","",Master!$B$8)</f>
        <v>Gyan Mudra</v>
      </c>
      <c r="R4" s="8" t="str">
        <f>IF(Master!$E$8="","",Master!$E$8)</f>
        <v>GARLIC (LASUN)</v>
      </c>
      <c r="S4" s="8" t="str">
        <f>IF(Master!$I$8="","",Master!$I$8)</f>
        <v>GM</v>
      </c>
    </row>
    <row r="5" spans="1:19" ht="21.95" customHeight="1" x14ac:dyDescent="0.25">
      <c r="A5" s="12">
        <v>1</v>
      </c>
      <c r="B5" s="6"/>
      <c r="C5" s="13" t="str">
        <f>IFERROR(IF(B5="","",INDEX(Master!$F$5:$F$200,MATCH(B5,Master!$E$5:$E$200,0))),"")</f>
        <v/>
      </c>
      <c r="D5" s="5"/>
      <c r="E5" s="5"/>
      <c r="F5" s="5"/>
      <c r="G5" s="5"/>
      <c r="H5" s="5"/>
      <c r="I5" s="5"/>
      <c r="J5" s="5"/>
      <c r="K5" s="5"/>
      <c r="L5" s="5"/>
      <c r="M5" s="5"/>
      <c r="N5" s="5"/>
      <c r="O5" s="5"/>
      <c r="P5" s="14" t="str">
        <f t="shared" ref="P5:P36" si="0">IF(SUM(D5:O5)=0,"",SUM(D5:O5))</f>
        <v/>
      </c>
      <c r="Q5" s="8" t="str">
        <f>IF(Master!$B$9="","",Master!$B$9)</f>
        <v>JNV (Vankal)</v>
      </c>
      <c r="R5" s="8" t="str">
        <f>IF(Master!$E$9="","",Master!$E$9)</f>
        <v>GINGER (ADRAK)</v>
      </c>
      <c r="S5" s="8" t="str">
        <f>IF(Master!$I$9="","",Master!$I$9)</f>
        <v>PACKET</v>
      </c>
    </row>
    <row r="6" spans="1:19" ht="21.95" customHeight="1" x14ac:dyDescent="0.25">
      <c r="A6" s="12">
        <v>2</v>
      </c>
      <c r="B6" s="6"/>
      <c r="C6" s="13" t="str">
        <f>IFERROR(IF(B6="","",INDEX(Master!$F$5:$F$200,MATCH(B6,Master!$E$5:$E$200,0))),"")</f>
        <v/>
      </c>
      <c r="D6" s="5"/>
      <c r="E6" s="5"/>
      <c r="F6" s="5"/>
      <c r="G6" s="5"/>
      <c r="H6" s="5"/>
      <c r="I6" s="5"/>
      <c r="J6" s="5"/>
      <c r="K6" s="5"/>
      <c r="L6" s="5"/>
      <c r="M6" s="5"/>
      <c r="N6" s="5"/>
      <c r="O6" s="5"/>
      <c r="P6" s="14" t="str">
        <f t="shared" si="0"/>
        <v/>
      </c>
      <c r="Q6" s="8" t="str">
        <f>IF(Master!$B$10="","",Master!$B$10)</f>
        <v>JNV (Bhajipura)</v>
      </c>
      <c r="R6" s="8" t="str">
        <f>IF(Master!$E$10="","",Master!$E$10)</f>
        <v>GREEN CHILLY</v>
      </c>
      <c r="S6" s="8" t="str">
        <f>IF(Master!$I$10="","",Master!$I$10)</f>
        <v>BUNCH</v>
      </c>
    </row>
    <row r="7" spans="1:19" ht="21.95" customHeight="1" x14ac:dyDescent="0.25">
      <c r="A7" s="12">
        <v>3</v>
      </c>
      <c r="B7" s="6"/>
      <c r="C7" s="13" t="str">
        <f>IFERROR(IF(B7="","",INDEX(Master!$F$5:$F$200,MATCH(B7,Master!$E$5:$E$200,0))),"")</f>
        <v/>
      </c>
      <c r="D7" s="5"/>
      <c r="E7" s="5"/>
      <c r="F7" s="5"/>
      <c r="G7" s="5"/>
      <c r="H7" s="5"/>
      <c r="I7" s="5"/>
      <c r="J7" s="5"/>
      <c r="K7" s="5"/>
      <c r="L7" s="5"/>
      <c r="M7" s="5"/>
      <c r="N7" s="5"/>
      <c r="O7" s="5"/>
      <c r="P7" s="14" t="str">
        <f t="shared" si="0"/>
        <v/>
      </c>
      <c r="Q7" s="8" t="str">
        <f>IF(Master!$B$11="","",Master!$B$11)</f>
        <v>Gurukrupa (Udhna)</v>
      </c>
      <c r="R7" s="8" t="str">
        <f>IF(Master!$E$11="","",Master!$E$11)</f>
        <v>FAFADA MIRCH</v>
      </c>
      <c r="S7" s="8" t="str">
        <f>IF(Master!$I$11="","",Master!$I$11)</f>
        <v>BUNDLE</v>
      </c>
    </row>
    <row r="8" spans="1:19" ht="21.95" customHeight="1" x14ac:dyDescent="0.25">
      <c r="A8" s="12">
        <v>4</v>
      </c>
      <c r="B8" s="6"/>
      <c r="C8" s="13" t="str">
        <f>IFERROR(IF(B8="","",INDEX(Master!$F$5:$F$200,MATCH(B8,Master!$E$5:$E$200,0))),"")</f>
        <v/>
      </c>
      <c r="D8" s="5"/>
      <c r="E8" s="5"/>
      <c r="F8" s="5"/>
      <c r="G8" s="5"/>
      <c r="H8" s="5"/>
      <c r="I8" s="5"/>
      <c r="J8" s="5"/>
      <c r="K8" s="5"/>
      <c r="L8" s="5"/>
      <c r="M8" s="5"/>
      <c r="N8" s="5"/>
      <c r="O8" s="5"/>
      <c r="P8" s="14" t="str">
        <f t="shared" si="0"/>
        <v/>
      </c>
      <c r="Q8" s="8" t="str">
        <f>IF(Master!$B$12="","",Master!$B$12)</f>
        <v/>
      </c>
      <c r="R8" s="8" t="str">
        <f>IF(Master!$E$12="","",Master!$E$12)</f>
        <v>CORIANDER (DHANIYA)</v>
      </c>
      <c r="S8" s="8" t="str">
        <f>IF(Master!$I$12="","",Master!$I$12)</f>
        <v>BOX</v>
      </c>
    </row>
    <row r="9" spans="1:19" ht="21.95" customHeight="1" x14ac:dyDescent="0.25">
      <c r="A9" s="12">
        <v>5</v>
      </c>
      <c r="B9" s="6"/>
      <c r="C9" s="13" t="str">
        <f>IFERROR(IF(B9="","",INDEX(Master!$F$5:$F$200,MATCH(B9,Master!$E$5:$E$200,0))),"")</f>
        <v/>
      </c>
      <c r="D9" s="5"/>
      <c r="E9" s="5"/>
      <c r="F9" s="5"/>
      <c r="G9" s="5"/>
      <c r="H9" s="5"/>
      <c r="I9" s="5"/>
      <c r="J9" s="5"/>
      <c r="K9" s="5"/>
      <c r="L9" s="5"/>
      <c r="M9" s="5"/>
      <c r="N9" s="5"/>
      <c r="O9" s="5"/>
      <c r="P9" s="14" t="str">
        <f t="shared" si="0"/>
        <v/>
      </c>
      <c r="Q9" s="8" t="str">
        <f>IF(Master!$B$13="","",Master!$B$13)</f>
        <v/>
      </c>
      <c r="R9" s="8" t="str">
        <f>IF(Master!$E$13="","",Master!$E$13)</f>
        <v>KOBICH</v>
      </c>
      <c r="S9" s="8" t="str">
        <f>IF(Master!$I$13="","",Master!$I$13)</f>
        <v>CRATE</v>
      </c>
    </row>
    <row r="10" spans="1:19" ht="21.95" customHeight="1" x14ac:dyDescent="0.25">
      <c r="A10" s="12">
        <v>6</v>
      </c>
      <c r="B10" s="6"/>
      <c r="C10" s="13" t="str">
        <f>IFERROR(IF(B10="","",INDEX(Master!$F$5:$F$200,MATCH(B10,Master!$E$5:$E$200,0))),"")</f>
        <v/>
      </c>
      <c r="D10" s="5"/>
      <c r="E10" s="5"/>
      <c r="F10" s="5"/>
      <c r="G10" s="5"/>
      <c r="H10" s="5"/>
      <c r="I10" s="5"/>
      <c r="J10" s="5"/>
      <c r="K10" s="5"/>
      <c r="L10" s="5"/>
      <c r="M10" s="5"/>
      <c r="N10" s="5"/>
      <c r="O10" s="5"/>
      <c r="P10" s="14" t="str">
        <f t="shared" si="0"/>
        <v/>
      </c>
      <c r="Q10" s="8" t="str">
        <f>IF(Master!$B$14="","",Master!$B$14)</f>
        <v/>
      </c>
      <c r="R10" s="8" t="str">
        <f>IF(Master!$E$14="","",Master!$E$14)</f>
        <v>GAULI FLOWER</v>
      </c>
      <c r="S10" s="8" t="str">
        <f>IF(Master!$I$14="","",Master!$I$14)</f>
        <v>LITRE</v>
      </c>
    </row>
    <row r="11" spans="1:19" ht="21.95" customHeight="1" x14ac:dyDescent="0.25">
      <c r="A11" s="12">
        <v>7</v>
      </c>
      <c r="B11" s="6"/>
      <c r="C11" s="13" t="str">
        <f>IFERROR(IF(B11="","",INDEX(Master!$F$5:$F$200,MATCH(B11,Master!$E$5:$E$200,0))),"")</f>
        <v/>
      </c>
      <c r="D11" s="5"/>
      <c r="E11" s="5"/>
      <c r="F11" s="5"/>
      <c r="G11" s="5"/>
      <c r="H11" s="5"/>
      <c r="I11" s="5"/>
      <c r="J11" s="5"/>
      <c r="K11" s="5"/>
      <c r="L11" s="5"/>
      <c r="M11" s="5"/>
      <c r="N11" s="5"/>
      <c r="O11" s="5"/>
      <c r="P11" s="14" t="str">
        <f t="shared" si="0"/>
        <v/>
      </c>
      <c r="Q11" s="8" t="str">
        <f>IF(Master!$B$15="","",Master!$B$15)</f>
        <v/>
      </c>
      <c r="R11" s="8" t="str">
        <f>IF(Master!$E$15="","",Master!$E$15)</f>
        <v>BINAPATTE KA FLOWER</v>
      </c>
      <c r="S11" s="8" t="str">
        <f>IF(Master!$I$15="","",Master!$I$15)</f>
        <v>GUNI</v>
      </c>
    </row>
    <row r="12" spans="1:19" ht="21.95" customHeight="1" x14ac:dyDescent="0.25">
      <c r="A12" s="12">
        <v>8</v>
      </c>
      <c r="B12" s="6"/>
      <c r="C12" s="13" t="str">
        <f>IFERROR(IF(B12="","",INDEX(Master!$F$5:$F$200,MATCH(B12,Master!$E$5:$E$200,0))),"")</f>
        <v/>
      </c>
      <c r="D12" s="5"/>
      <c r="E12" s="5"/>
      <c r="F12" s="5"/>
      <c r="G12" s="5"/>
      <c r="H12" s="5"/>
      <c r="I12" s="5"/>
      <c r="J12" s="5"/>
      <c r="K12" s="5"/>
      <c r="L12" s="5"/>
      <c r="M12" s="5"/>
      <c r="N12" s="5"/>
      <c r="O12" s="5"/>
      <c r="P12" s="14" t="str">
        <f t="shared" si="0"/>
        <v/>
      </c>
      <c r="Q12" s="8" t="str">
        <f>IF(Master!$B$16="","",Master!$B$16)</f>
        <v/>
      </c>
      <c r="R12" s="8" t="str">
        <f>IF(Master!$E$16="","",Master!$E$16)</f>
        <v>LAUKI</v>
      </c>
      <c r="S12" s="8" t="str">
        <f>IF(Master!$I$16="","",Master!$I$16)</f>
        <v/>
      </c>
    </row>
    <row r="13" spans="1:19" ht="21.95" customHeight="1" x14ac:dyDescent="0.25">
      <c r="A13" s="12">
        <v>9</v>
      </c>
      <c r="B13" s="6"/>
      <c r="C13" s="13" t="str">
        <f>IFERROR(IF(B13="","",INDEX(Master!$F$5:$F$200,MATCH(B13,Master!$E$5:$E$200,0))),"")</f>
        <v/>
      </c>
      <c r="D13" s="5"/>
      <c r="E13" s="5"/>
      <c r="F13" s="5"/>
      <c r="G13" s="5"/>
      <c r="H13" s="5"/>
      <c r="I13" s="5"/>
      <c r="J13" s="5"/>
      <c r="K13" s="5"/>
      <c r="L13" s="5"/>
      <c r="M13" s="5"/>
      <c r="N13" s="5"/>
      <c r="O13" s="5"/>
      <c r="P13" s="14" t="str">
        <f t="shared" si="0"/>
        <v/>
      </c>
      <c r="Q13" s="8" t="str">
        <f>IF(Master!$B$17="","",Master!$B$17)</f>
        <v/>
      </c>
      <c r="R13" s="8" t="str">
        <f>IF(Master!$E$17="","",Master!$E$17)</f>
        <v>BHINDI</v>
      </c>
      <c r="S13" s="8" t="str">
        <f>IF(Master!$I$17="","",Master!$I$17)</f>
        <v/>
      </c>
    </row>
    <row r="14" spans="1:19" ht="21.95" customHeight="1" x14ac:dyDescent="0.25">
      <c r="A14" s="12">
        <v>10</v>
      </c>
      <c r="B14" s="6"/>
      <c r="C14" s="13" t="str">
        <f>IFERROR(IF(B14="","",INDEX(Master!$F$5:$F$200,MATCH(B14,Master!$E$5:$E$200,0))),"")</f>
        <v/>
      </c>
      <c r="D14" s="5"/>
      <c r="E14" s="5"/>
      <c r="F14" s="5"/>
      <c r="G14" s="5"/>
      <c r="H14" s="5"/>
      <c r="I14" s="5"/>
      <c r="J14" s="5"/>
      <c r="K14" s="5"/>
      <c r="L14" s="5"/>
      <c r="M14" s="5"/>
      <c r="N14" s="5"/>
      <c r="O14" s="5"/>
      <c r="P14" s="14" t="str">
        <f t="shared" si="0"/>
        <v/>
      </c>
      <c r="Q14" s="8" t="str">
        <f>IF(Master!$B$18="","",Master!$B$18)</f>
        <v/>
      </c>
      <c r="R14" s="8" t="str">
        <f>IF(Master!$E$18="","",Master!$E$18)</f>
        <v>BRINJAL</v>
      </c>
      <c r="S14" s="8" t="str">
        <f>IF(Master!$I$18="","",Master!$I$18)</f>
        <v/>
      </c>
    </row>
    <row r="15" spans="1:19" ht="21.95" customHeight="1" x14ac:dyDescent="0.25">
      <c r="A15" s="12">
        <v>11</v>
      </c>
      <c r="B15" s="6"/>
      <c r="C15" s="13" t="str">
        <f>IFERROR(IF(B15="","",INDEX(Master!$F$5:$F$200,MATCH(B15,Master!$E$5:$E$200,0))),"")</f>
        <v/>
      </c>
      <c r="D15" s="5"/>
      <c r="E15" s="5"/>
      <c r="F15" s="5"/>
      <c r="G15" s="5"/>
      <c r="H15" s="5"/>
      <c r="I15" s="5"/>
      <c r="J15" s="5"/>
      <c r="K15" s="5"/>
      <c r="L15" s="5"/>
      <c r="M15" s="5"/>
      <c r="N15" s="5"/>
      <c r="O15" s="5"/>
      <c r="P15" s="14" t="str">
        <f t="shared" si="0"/>
        <v/>
      </c>
      <c r="Q15" s="8" t="str">
        <f>IF(Master!$B$19="","",Master!$B$19)</f>
        <v/>
      </c>
      <c r="R15" s="8" t="str">
        <f>IF(Master!$E$19="","",Master!$E$19)</f>
        <v>TINDORA</v>
      </c>
      <c r="S15" s="8" t="str">
        <f>IF(Master!$I$19="","",Master!$I$19)</f>
        <v/>
      </c>
    </row>
    <row r="16" spans="1:19" ht="21.95" customHeight="1" x14ac:dyDescent="0.25">
      <c r="A16" s="12">
        <v>12</v>
      </c>
      <c r="B16" s="6"/>
      <c r="C16" s="13" t="str">
        <f>IFERROR(IF(B16="","",INDEX(Master!$F$5:$F$200,MATCH(B16,Master!$E$5:$E$200,0))),"")</f>
        <v/>
      </c>
      <c r="D16" s="5"/>
      <c r="E16" s="5"/>
      <c r="F16" s="5"/>
      <c r="G16" s="5"/>
      <c r="H16" s="5"/>
      <c r="I16" s="5"/>
      <c r="J16" s="5"/>
      <c r="K16" s="5"/>
      <c r="L16" s="5"/>
      <c r="M16" s="5"/>
      <c r="N16" s="5"/>
      <c r="O16" s="5"/>
      <c r="P16" s="14" t="str">
        <f t="shared" si="0"/>
        <v/>
      </c>
      <c r="Q16" s="8" t="str">
        <f>IF(Master!$B$20="","",Master!$B$20)</f>
        <v/>
      </c>
      <c r="R16" s="8" t="str">
        <f>IF(Master!$E$20="","",Master!$E$20)</f>
        <v>PARVAL</v>
      </c>
      <c r="S16" s="8" t="str">
        <f>IF(Master!$I$20="","",Master!$I$20)</f>
        <v/>
      </c>
    </row>
    <row r="17" spans="1:19" ht="21.95" customHeight="1" x14ac:dyDescent="0.25">
      <c r="A17" s="12">
        <v>13</v>
      </c>
      <c r="B17" s="6"/>
      <c r="C17" s="13" t="str">
        <f>IFERROR(IF(B17="","",INDEX(Master!$F$5:$F$200,MATCH(B17,Master!$E$5:$E$200,0))),"")</f>
        <v/>
      </c>
      <c r="D17" s="5"/>
      <c r="E17" s="5"/>
      <c r="F17" s="5"/>
      <c r="G17" s="5"/>
      <c r="H17" s="5"/>
      <c r="I17" s="5"/>
      <c r="J17" s="5"/>
      <c r="K17" s="5"/>
      <c r="L17" s="5"/>
      <c r="M17" s="5"/>
      <c r="N17" s="5"/>
      <c r="O17" s="5"/>
      <c r="P17" s="14" t="str">
        <f t="shared" si="0"/>
        <v/>
      </c>
      <c r="Q17" s="8" t="str">
        <f>IF(Master!$B$21="","",Master!$B$21)</f>
        <v/>
      </c>
      <c r="R17" s="8" t="str">
        <f>IF(Master!$E$21="","",Master!$E$21)</f>
        <v>TURIYA</v>
      </c>
      <c r="S17" s="8" t="str">
        <f>IF(Master!$I$21="","",Master!$I$21)</f>
        <v/>
      </c>
    </row>
    <row r="18" spans="1:19" ht="21.95" customHeight="1" x14ac:dyDescent="0.25">
      <c r="A18" s="12">
        <v>14</v>
      </c>
      <c r="B18" s="6"/>
      <c r="C18" s="13" t="str">
        <f>IFERROR(IF(B18="","",INDEX(Master!$F$5:$F$200,MATCH(B18,Master!$E$5:$E$200,0))),"")</f>
        <v/>
      </c>
      <c r="D18" s="5"/>
      <c r="E18" s="5"/>
      <c r="F18" s="5"/>
      <c r="G18" s="5"/>
      <c r="H18" s="5"/>
      <c r="I18" s="5"/>
      <c r="J18" s="5"/>
      <c r="K18" s="5"/>
      <c r="L18" s="5"/>
      <c r="M18" s="5"/>
      <c r="N18" s="5"/>
      <c r="O18" s="5"/>
      <c r="P18" s="14" t="str">
        <f t="shared" si="0"/>
        <v/>
      </c>
      <c r="Q18" s="8" t="str">
        <f>IF(Master!$B$22="","",Master!$B$22)</f>
        <v/>
      </c>
      <c r="R18" s="8" t="str">
        <f>IF(Master!$E$22="","",Master!$E$22)</f>
        <v>SIMLA MIRCH</v>
      </c>
      <c r="S18" s="8" t="str">
        <f>IF(Master!$I$22="","",Master!$I$22)</f>
        <v/>
      </c>
    </row>
    <row r="19" spans="1:19" ht="21.95" customHeight="1" x14ac:dyDescent="0.25">
      <c r="A19" s="12">
        <v>15</v>
      </c>
      <c r="B19" s="6"/>
      <c r="C19" s="13" t="str">
        <f>IFERROR(IF(B19="","",INDEX(Master!$F$5:$F$200,MATCH(B19,Master!$E$5:$E$200,0))),"")</f>
        <v/>
      </c>
      <c r="D19" s="5"/>
      <c r="E19" s="5"/>
      <c r="F19" s="5"/>
      <c r="G19" s="5"/>
      <c r="H19" s="5"/>
      <c r="I19" s="5"/>
      <c r="J19" s="5"/>
      <c r="K19" s="5"/>
      <c r="L19" s="5"/>
      <c r="M19" s="5"/>
      <c r="N19" s="5"/>
      <c r="O19" s="5"/>
      <c r="P19" s="14" t="str">
        <f t="shared" si="0"/>
        <v/>
      </c>
      <c r="Q19" s="8" t="str">
        <f>IF(Master!$B$23="","",Master!$B$23)</f>
        <v/>
      </c>
      <c r="R19" s="8" t="str">
        <f>IF(Master!$E$23="","",Master!$E$23)</f>
        <v>FANSI</v>
      </c>
      <c r="S19" s="8" t="str">
        <f>IF(Master!$I$23="","",Master!$I$23)</f>
        <v/>
      </c>
    </row>
    <row r="20" spans="1:19" ht="21.95" customHeight="1" x14ac:dyDescent="0.25">
      <c r="A20" s="12">
        <v>16</v>
      </c>
      <c r="B20" s="6"/>
      <c r="C20" s="13" t="str">
        <f>IFERROR(IF(B20="","",INDEX(Master!$F$5:$F$200,MATCH(B20,Master!$E$5:$E$200,0))),"")</f>
        <v/>
      </c>
      <c r="D20" s="5"/>
      <c r="E20" s="5"/>
      <c r="F20" s="5"/>
      <c r="G20" s="5"/>
      <c r="H20" s="5"/>
      <c r="I20" s="5"/>
      <c r="J20" s="5"/>
      <c r="K20" s="5"/>
      <c r="L20" s="5"/>
      <c r="M20" s="5"/>
      <c r="N20" s="5"/>
      <c r="O20" s="5"/>
      <c r="P20" s="14" t="str">
        <f t="shared" si="0"/>
        <v/>
      </c>
      <c r="Q20" s="8" t="str">
        <f>IF(Master!$B$24="","",Master!$B$24)</f>
        <v/>
      </c>
      <c r="R20" s="8" t="str">
        <f>IF(Master!$E$24="","",Master!$E$24)</f>
        <v>GUVAR</v>
      </c>
      <c r="S20" s="8" t="str">
        <f>IF(Master!$I$24="","",Master!$I$24)</f>
        <v/>
      </c>
    </row>
    <row r="21" spans="1:19" ht="21.95" customHeight="1" x14ac:dyDescent="0.25">
      <c r="A21" s="12">
        <v>17</v>
      </c>
      <c r="B21" s="6"/>
      <c r="C21" s="13" t="str">
        <f>IFERROR(IF(B21="","",INDEX(Master!$F$5:$F$200,MATCH(B21,Master!$E$5:$E$200,0))),"")</f>
        <v/>
      </c>
      <c r="D21" s="5"/>
      <c r="E21" s="5"/>
      <c r="F21" s="5"/>
      <c r="G21" s="5"/>
      <c r="H21" s="5"/>
      <c r="I21" s="5"/>
      <c r="J21" s="5"/>
      <c r="K21" s="5"/>
      <c r="L21" s="5"/>
      <c r="M21" s="5"/>
      <c r="N21" s="5"/>
      <c r="O21" s="5"/>
      <c r="P21" s="14" t="str">
        <f t="shared" si="0"/>
        <v/>
      </c>
      <c r="Q21" s="8" t="str">
        <f>IF(Master!$B$25="","",Master!$B$25)</f>
        <v/>
      </c>
      <c r="R21" s="8" t="str">
        <f>IF(Master!$E$25="","",Master!$E$25)</f>
        <v>SARAGVA SING</v>
      </c>
      <c r="S21" s="8" t="str">
        <f>IF(Master!$I$25="","",Master!$I$25)</f>
        <v/>
      </c>
    </row>
    <row r="22" spans="1:19" ht="21.95" customHeight="1" x14ac:dyDescent="0.25">
      <c r="A22" s="12">
        <v>18</v>
      </c>
      <c r="B22" s="6"/>
      <c r="C22" s="13" t="str">
        <f>IFERROR(IF(B22="","",INDEX(Master!$F$5:$F$200,MATCH(B22,Master!$E$5:$E$200,0))),"")</f>
        <v/>
      </c>
      <c r="D22" s="5"/>
      <c r="E22" s="5"/>
      <c r="F22" s="5"/>
      <c r="G22" s="5"/>
      <c r="H22" s="5"/>
      <c r="I22" s="5"/>
      <c r="J22" s="5"/>
      <c r="K22" s="5"/>
      <c r="L22" s="5"/>
      <c r="M22" s="5"/>
      <c r="N22" s="5"/>
      <c r="O22" s="5"/>
      <c r="P22" s="14" t="str">
        <f t="shared" si="0"/>
        <v/>
      </c>
      <c r="Q22" s="8" t="str">
        <f>IF(Master!$B$26="","",Master!$B$26)</f>
        <v/>
      </c>
      <c r="R22" s="8" t="str">
        <f>IF(Master!$E$26="","",Master!$E$26)</f>
        <v>GREEN PEACE</v>
      </c>
      <c r="S22" s="8" t="str">
        <f>IF(Master!$I$26="","",Master!$I$26)</f>
        <v/>
      </c>
    </row>
    <row r="23" spans="1:19" ht="21.95" customHeight="1" x14ac:dyDescent="0.25">
      <c r="A23" s="12">
        <v>19</v>
      </c>
      <c r="B23" s="6"/>
      <c r="C23" s="13" t="str">
        <f>IFERROR(IF(B23="","",INDEX(Master!$F$5:$F$200,MATCH(B23,Master!$E$5:$E$200,0))),"")</f>
        <v/>
      </c>
      <c r="D23" s="5"/>
      <c r="E23" s="5"/>
      <c r="F23" s="5"/>
      <c r="G23" s="5"/>
      <c r="H23" s="5"/>
      <c r="I23" s="5"/>
      <c r="J23" s="5"/>
      <c r="K23" s="5"/>
      <c r="L23" s="5"/>
      <c r="M23" s="5"/>
      <c r="N23" s="5"/>
      <c r="O23" s="5"/>
      <c r="P23" s="14" t="str">
        <f t="shared" si="0"/>
        <v/>
      </c>
      <c r="Q23" s="8" t="str">
        <f>IF(Master!$B$27="","",Master!$B$27)</f>
        <v/>
      </c>
      <c r="R23" s="8" t="str">
        <f>IF(Master!$E$27="","",Master!$E$27)</f>
        <v>KATARGAM PAP</v>
      </c>
      <c r="S23" s="8" t="str">
        <f>IF(Master!$I$27="","",Master!$I$27)</f>
        <v/>
      </c>
    </row>
    <row r="24" spans="1:19" ht="21.95" customHeight="1" x14ac:dyDescent="0.25">
      <c r="A24" s="12">
        <v>20</v>
      </c>
      <c r="B24" s="6"/>
      <c r="C24" s="13" t="str">
        <f>IFERROR(IF(B24="","",INDEX(Master!$F$5:$F$200,MATCH(B24,Master!$E$5:$E$200,0))),"")</f>
        <v/>
      </c>
      <c r="D24" s="5"/>
      <c r="E24" s="5"/>
      <c r="F24" s="5"/>
      <c r="G24" s="5"/>
      <c r="H24" s="5"/>
      <c r="I24" s="5"/>
      <c r="J24" s="5"/>
      <c r="K24" s="5"/>
      <c r="L24" s="5"/>
      <c r="M24" s="5"/>
      <c r="N24" s="5"/>
      <c r="O24" s="5"/>
      <c r="P24" s="14" t="str">
        <f t="shared" si="0"/>
        <v/>
      </c>
      <c r="Q24" s="8" t="str">
        <f>IF(Master!$B$28="","",Master!$B$28)</f>
        <v/>
      </c>
      <c r="R24" s="8" t="str">
        <f>IF(Master!$E$28="","",Master!$E$28)</f>
        <v>WHITE PUMPKIN</v>
      </c>
      <c r="S24" s="8" t="str">
        <f>IF(Master!$I$28="","",Master!$I$28)</f>
        <v/>
      </c>
    </row>
    <row r="25" spans="1:19" ht="21.95" customHeight="1" x14ac:dyDescent="0.25">
      <c r="A25" s="12">
        <v>21</v>
      </c>
      <c r="B25" s="6"/>
      <c r="C25" s="13" t="str">
        <f>IFERROR(IF(B25="","",INDEX(Master!$F$5:$F$200,MATCH(B25,Master!$E$5:$E$200,0))),"")</f>
        <v/>
      </c>
      <c r="D25" s="5"/>
      <c r="E25" s="5"/>
      <c r="F25" s="5"/>
      <c r="G25" s="5"/>
      <c r="H25" s="5"/>
      <c r="I25" s="5"/>
      <c r="J25" s="5"/>
      <c r="K25" s="5"/>
      <c r="L25" s="5"/>
      <c r="M25" s="5"/>
      <c r="N25" s="5"/>
      <c r="O25" s="5"/>
      <c r="P25" s="14" t="str">
        <f t="shared" si="0"/>
        <v/>
      </c>
      <c r="Q25" s="8" t="str">
        <f>IF(Master!$B$29="","",Master!$B$29)</f>
        <v/>
      </c>
      <c r="R25" s="8" t="str">
        <f>IF(Master!$E$29="","",Master!$E$29)</f>
        <v>LEMON</v>
      </c>
      <c r="S25" s="8" t="str">
        <f>IF(Master!$I$29="","",Master!$I$29)</f>
        <v/>
      </c>
    </row>
    <row r="26" spans="1:19" ht="21.95" customHeight="1" x14ac:dyDescent="0.25">
      <c r="A26" s="12">
        <v>22</v>
      </c>
      <c r="B26" s="6"/>
      <c r="C26" s="13" t="str">
        <f>IFERROR(IF(B26="","",INDEX(Master!$F$5:$F$200,MATCH(B26,Master!$E$5:$E$200,0))),"")</f>
        <v/>
      </c>
      <c r="D26" s="5"/>
      <c r="E26" s="5"/>
      <c r="F26" s="5"/>
      <c r="G26" s="5"/>
      <c r="H26" s="5"/>
      <c r="I26" s="5"/>
      <c r="J26" s="5"/>
      <c r="K26" s="5"/>
      <c r="L26" s="5"/>
      <c r="M26" s="5"/>
      <c r="N26" s="5"/>
      <c r="O26" s="5"/>
      <c r="P26" s="14" t="str">
        <f t="shared" si="0"/>
        <v/>
      </c>
      <c r="Q26" s="8" t="str">
        <f>IF(Master!$B$30="","",Master!$B$30)</f>
        <v/>
      </c>
      <c r="R26" s="8" t="str">
        <f>IF(Master!$E$30="","",Master!$E$30)</f>
        <v>CARROT (RED)</v>
      </c>
      <c r="S26" s="8" t="str">
        <f>IF(Master!$I$30="","",Master!$I$30)</f>
        <v/>
      </c>
    </row>
    <row r="27" spans="1:19" ht="21.95" customHeight="1" x14ac:dyDescent="0.25">
      <c r="A27" s="12">
        <v>23</v>
      </c>
      <c r="B27" s="6"/>
      <c r="C27" s="13" t="str">
        <f>IFERROR(IF(B27="","",INDEX(Master!$F$5:$F$200,MATCH(B27,Master!$E$5:$E$200,0))),"")</f>
        <v/>
      </c>
      <c r="D27" s="5"/>
      <c r="E27" s="5"/>
      <c r="F27" s="5"/>
      <c r="G27" s="5"/>
      <c r="H27" s="5"/>
      <c r="I27" s="5"/>
      <c r="J27" s="5"/>
      <c r="K27" s="5"/>
      <c r="L27" s="5"/>
      <c r="M27" s="5"/>
      <c r="N27" s="5"/>
      <c r="O27" s="5"/>
      <c r="P27" s="14" t="str">
        <f t="shared" si="0"/>
        <v/>
      </c>
      <c r="Q27" s="8" t="str">
        <f>IF(Master!$B$31="","",Master!$B$31)</f>
        <v/>
      </c>
      <c r="R27" s="8" t="str">
        <f>IF(Master!$E$31="","",Master!$E$31)</f>
        <v>CARROT (ORANGE)</v>
      </c>
      <c r="S27" s="8" t="str">
        <f>IF(Master!$I$31="","",Master!$I$31)</f>
        <v/>
      </c>
    </row>
    <row r="28" spans="1:19" ht="21.95" customHeight="1" x14ac:dyDescent="0.25">
      <c r="A28" s="12">
        <v>24</v>
      </c>
      <c r="B28" s="6"/>
      <c r="C28" s="13" t="str">
        <f>IFERROR(IF(B28="","",INDEX(Master!$F$5:$F$200,MATCH(B28,Master!$E$5:$E$200,0))),"")</f>
        <v/>
      </c>
      <c r="D28" s="5"/>
      <c r="E28" s="5"/>
      <c r="F28" s="5"/>
      <c r="G28" s="5"/>
      <c r="H28" s="5"/>
      <c r="I28" s="5"/>
      <c r="J28" s="5"/>
      <c r="K28" s="5"/>
      <c r="L28" s="5"/>
      <c r="M28" s="5"/>
      <c r="N28" s="5"/>
      <c r="O28" s="5"/>
      <c r="P28" s="14" t="str">
        <f t="shared" si="0"/>
        <v/>
      </c>
      <c r="Q28" s="8" t="str">
        <f>IF(Master!$B$32="","",Master!$B$32)</f>
        <v/>
      </c>
      <c r="R28" s="8" t="str">
        <f>IF(Master!$E$32="","",Master!$E$32)</f>
        <v>KAKDI</v>
      </c>
      <c r="S28" s="8" t="str">
        <f>IF(Master!$I$32="","",Master!$I$32)</f>
        <v/>
      </c>
    </row>
    <row r="29" spans="1:19" ht="21.95" customHeight="1" x14ac:dyDescent="0.25">
      <c r="A29" s="12">
        <v>25</v>
      </c>
      <c r="B29" s="6"/>
      <c r="C29" s="13" t="str">
        <f>IFERROR(IF(B29="","",INDEX(Master!$F$5:$F$200,MATCH(B29,Master!$E$5:$E$200,0))),"")</f>
        <v/>
      </c>
      <c r="D29" s="5"/>
      <c r="E29" s="5"/>
      <c r="F29" s="5"/>
      <c r="G29" s="5"/>
      <c r="H29" s="5"/>
      <c r="I29" s="5"/>
      <c r="J29" s="5"/>
      <c r="K29" s="5"/>
      <c r="L29" s="5"/>
      <c r="M29" s="5"/>
      <c r="N29" s="5"/>
      <c r="O29" s="5"/>
      <c r="P29" s="14" t="str">
        <f t="shared" si="0"/>
        <v/>
      </c>
      <c r="Q29" s="8" t="str">
        <f>IF(Master!$B$33="","",Master!$B$33)</f>
        <v/>
      </c>
      <c r="R29" s="8" t="str">
        <f>IF(Master!$E$33="","",Master!$E$33)</f>
        <v>MOOLI</v>
      </c>
      <c r="S29" s="8" t="str">
        <f>IF(Master!$I$33="","",Master!$I$33)</f>
        <v/>
      </c>
    </row>
    <row r="30" spans="1:19" ht="21.95" customHeight="1" x14ac:dyDescent="0.25">
      <c r="A30" s="12">
        <v>26</v>
      </c>
      <c r="B30" s="6"/>
      <c r="C30" s="13" t="str">
        <f>IFERROR(IF(B30="","",INDEX(Master!$F$5:$F$200,MATCH(B30,Master!$E$5:$E$200,0))),"")</f>
        <v/>
      </c>
      <c r="D30" s="5"/>
      <c r="E30" s="5"/>
      <c r="F30" s="5"/>
      <c r="G30" s="5"/>
      <c r="H30" s="5"/>
      <c r="I30" s="5"/>
      <c r="J30" s="5"/>
      <c r="K30" s="5"/>
      <c r="L30" s="5"/>
      <c r="M30" s="5"/>
      <c r="N30" s="5"/>
      <c r="O30" s="5"/>
      <c r="P30" s="14" t="str">
        <f t="shared" si="0"/>
        <v/>
      </c>
      <c r="Q30" s="8" t="str">
        <f>IF(Master!$B$34="","",Master!$B$34)</f>
        <v/>
      </c>
      <c r="R30" s="8" t="str">
        <f>IF(Master!$E$34="","",Master!$E$34)</f>
        <v>BEETROOT</v>
      </c>
      <c r="S30" s="8" t="str">
        <f>IF(Master!$I$34="","",Master!$I$34)</f>
        <v/>
      </c>
    </row>
    <row r="31" spans="1:19" ht="21.95" customHeight="1" x14ac:dyDescent="0.25">
      <c r="A31" s="12">
        <v>27</v>
      </c>
      <c r="B31" s="6"/>
      <c r="C31" s="13" t="str">
        <f>IFERROR(IF(B31="","",INDEX(Master!$F$5:$F$200,MATCH(B31,Master!$E$5:$E$200,0))),"")</f>
        <v/>
      </c>
      <c r="D31" s="5"/>
      <c r="E31" s="5"/>
      <c r="F31" s="5"/>
      <c r="G31" s="5"/>
      <c r="H31" s="5"/>
      <c r="I31" s="5"/>
      <c r="J31" s="5"/>
      <c r="K31" s="5"/>
      <c r="L31" s="5"/>
      <c r="M31" s="5"/>
      <c r="N31" s="5"/>
      <c r="O31" s="5"/>
      <c r="P31" s="14" t="str">
        <f t="shared" si="0"/>
        <v/>
      </c>
      <c r="Q31" s="8" t="str">
        <f>IF(Master!$B$35="","",Master!$B$35)</f>
        <v/>
      </c>
      <c r="R31" s="8" t="str">
        <f>IF(Master!$E$35="","",Master!$E$35)</f>
        <v>CORN (MAKKAI)</v>
      </c>
      <c r="S31" s="8" t="str">
        <f>IF(Master!$I$35="","",Master!$I$35)</f>
        <v/>
      </c>
    </row>
    <row r="32" spans="1:19" ht="21.95" customHeight="1" x14ac:dyDescent="0.25">
      <c r="A32" s="12">
        <v>28</v>
      </c>
      <c r="B32" s="6"/>
      <c r="C32" s="13" t="str">
        <f>IFERROR(IF(B32="","",INDEX(Master!$F$5:$F$200,MATCH(B32,Master!$E$5:$E$200,0))),"")</f>
        <v/>
      </c>
      <c r="D32" s="5"/>
      <c r="E32" s="5"/>
      <c r="F32" s="5"/>
      <c r="G32" s="5"/>
      <c r="H32" s="5"/>
      <c r="I32" s="5"/>
      <c r="J32" s="5"/>
      <c r="K32" s="5"/>
      <c r="L32" s="5"/>
      <c r="M32" s="5"/>
      <c r="N32" s="5"/>
      <c r="O32" s="5"/>
      <c r="P32" s="14" t="str">
        <f t="shared" si="0"/>
        <v/>
      </c>
      <c r="Q32" s="8" t="str">
        <f>IF(Master!$B$36="","",Master!$B$36)</f>
        <v/>
      </c>
      <c r="R32" s="8" t="str">
        <f>IF(Master!$E$36="","",Master!$E$36)</f>
        <v>METHI</v>
      </c>
      <c r="S32" s="8" t="str">
        <f>IF(Master!$I$36="","",Master!$I$36)</f>
        <v/>
      </c>
    </row>
    <row r="33" spans="1:19" ht="21.95" customHeight="1" x14ac:dyDescent="0.25">
      <c r="A33" s="12">
        <v>29</v>
      </c>
      <c r="B33" s="6"/>
      <c r="C33" s="13" t="str">
        <f>IFERROR(IF(B33="","",INDEX(Master!$F$5:$F$200,MATCH(B33,Master!$E$5:$E$200,0))),"")</f>
        <v/>
      </c>
      <c r="D33" s="5"/>
      <c r="E33" s="5"/>
      <c r="F33" s="5"/>
      <c r="G33" s="5"/>
      <c r="H33" s="5"/>
      <c r="I33" s="5"/>
      <c r="J33" s="5"/>
      <c r="K33" s="5"/>
      <c r="L33" s="5"/>
      <c r="M33" s="5"/>
      <c r="N33" s="5"/>
      <c r="O33" s="5"/>
      <c r="P33" s="14" t="str">
        <f t="shared" si="0"/>
        <v/>
      </c>
      <c r="Q33" s="8" t="str">
        <f>IF(Master!$B$37="","",Master!$B$37)</f>
        <v/>
      </c>
      <c r="R33" s="8" t="str">
        <f>IF(Master!$E$37="","",Master!$E$37)</f>
        <v>PALAK</v>
      </c>
      <c r="S33" s="8" t="str">
        <f>IF(Master!$I$37="","",Master!$I$37)</f>
        <v/>
      </c>
    </row>
    <row r="34" spans="1:19" ht="21.95" customHeight="1" x14ac:dyDescent="0.25">
      <c r="A34" s="12">
        <v>30</v>
      </c>
      <c r="B34" s="6"/>
      <c r="C34" s="13" t="str">
        <f>IFERROR(IF(B34="","",INDEX(Master!$F$5:$F$200,MATCH(B34,Master!$E$5:$E$200,0))),"")</f>
        <v/>
      </c>
      <c r="D34" s="5"/>
      <c r="E34" s="5"/>
      <c r="F34" s="5"/>
      <c r="G34" s="5"/>
      <c r="H34" s="5"/>
      <c r="I34" s="5"/>
      <c r="J34" s="5"/>
      <c r="K34" s="5"/>
      <c r="L34" s="5"/>
      <c r="M34" s="5"/>
      <c r="N34" s="5"/>
      <c r="O34" s="5"/>
      <c r="P34" s="14" t="str">
        <f t="shared" si="0"/>
        <v/>
      </c>
      <c r="Q34" s="8" t="str">
        <f>IF(Master!$B$38="","",Master!$B$38)</f>
        <v/>
      </c>
      <c r="R34" s="8" t="str">
        <f>IF(Master!$E$38="","",Master!$E$38)</f>
        <v>PUDINA</v>
      </c>
      <c r="S34" s="8" t="str">
        <f>IF(Master!$I$38="","",Master!$I$38)</f>
        <v/>
      </c>
    </row>
    <row r="35" spans="1:19" ht="21.95" customHeight="1" x14ac:dyDescent="0.25">
      <c r="A35" s="12">
        <v>31</v>
      </c>
      <c r="B35" s="6"/>
      <c r="C35" s="13" t="str">
        <f>IFERROR(IF(B35="","",INDEX(Master!$F$5:$F$200,MATCH(B35,Master!$E$5:$E$200,0))),"")</f>
        <v/>
      </c>
      <c r="D35" s="5"/>
      <c r="E35" s="5"/>
      <c r="F35" s="5"/>
      <c r="G35" s="5"/>
      <c r="H35" s="5"/>
      <c r="I35" s="5"/>
      <c r="J35" s="5"/>
      <c r="K35" s="5"/>
      <c r="L35" s="5"/>
      <c r="M35" s="5"/>
      <c r="N35" s="5"/>
      <c r="O35" s="5"/>
      <c r="P35" s="14" t="str">
        <f t="shared" si="0"/>
        <v/>
      </c>
      <c r="Q35" s="8" t="str">
        <f>IF(Master!$B$39="","",Master!$B$39)</f>
        <v/>
      </c>
      <c r="R35" s="8" t="str">
        <f>IF(Master!$E$39="","",Master!$E$39)</f>
        <v>KADI PATTA</v>
      </c>
      <c r="S35" s="8" t="str">
        <f>IF(Master!$I$39="","",Master!$I$39)</f>
        <v/>
      </c>
    </row>
    <row r="36" spans="1:19" ht="21.95" customHeight="1" x14ac:dyDescent="0.25">
      <c r="A36" s="12">
        <v>32</v>
      </c>
      <c r="B36" s="6"/>
      <c r="C36" s="13" t="str">
        <f>IFERROR(IF(B36="","",INDEX(Master!$F$5:$F$200,MATCH(B36,Master!$E$5:$E$200,0))),"")</f>
        <v/>
      </c>
      <c r="D36" s="5"/>
      <c r="E36" s="5"/>
      <c r="F36" s="5"/>
      <c r="G36" s="5"/>
      <c r="H36" s="5"/>
      <c r="I36" s="5"/>
      <c r="J36" s="5"/>
      <c r="K36" s="5"/>
      <c r="L36" s="5"/>
      <c r="M36" s="5"/>
      <c r="N36" s="5"/>
      <c r="O36" s="5"/>
      <c r="P36" s="14" t="str">
        <f t="shared" si="0"/>
        <v/>
      </c>
      <c r="Q36" s="8" t="str">
        <f>IF(Master!$B$40="","",Master!$B$40)</f>
        <v/>
      </c>
      <c r="R36" s="8" t="str">
        <f>IF(Master!$E$40="","",Master!$E$40)</f>
        <v>GREEN ONION</v>
      </c>
      <c r="S36" s="8" t="str">
        <f>IF(Master!$I$40="","",Master!$I$40)</f>
        <v/>
      </c>
    </row>
    <row r="37" spans="1:19" ht="21.95" customHeight="1" x14ac:dyDescent="0.25">
      <c r="A37" s="12">
        <v>33</v>
      </c>
      <c r="B37" s="6"/>
      <c r="C37" s="13" t="str">
        <f>IFERROR(IF(B37="","",INDEX(Master!$F$5:$F$200,MATCH(B37,Master!$E$5:$E$200,0))),"")</f>
        <v/>
      </c>
      <c r="D37" s="5"/>
      <c r="E37" s="5"/>
      <c r="F37" s="5"/>
      <c r="G37" s="5"/>
      <c r="H37" s="5"/>
      <c r="I37" s="5"/>
      <c r="J37" s="5"/>
      <c r="K37" s="5"/>
      <c r="L37" s="5"/>
      <c r="M37" s="5"/>
      <c r="N37" s="5"/>
      <c r="O37" s="5"/>
      <c r="P37" s="14" t="str">
        <f t="shared" ref="P37:P64" si="1">IF(SUM(D37:O37)=0,"",SUM(D37:O37))</f>
        <v/>
      </c>
      <c r="Q37" s="8" t="str">
        <f>IF(Master!$B$41="","",Master!$B$41)</f>
        <v/>
      </c>
      <c r="R37" s="8" t="str">
        <f>IF(Master!$E$41="","",Master!$E$41)</f>
        <v>KACCHA BANANA</v>
      </c>
    </row>
    <row r="38" spans="1:19" ht="21.95" customHeight="1" x14ac:dyDescent="0.25">
      <c r="A38" s="12">
        <v>34</v>
      </c>
      <c r="B38" s="6"/>
      <c r="C38" s="13" t="str">
        <f>IFERROR(IF(B38="","",INDEX(Master!$F$5:$F$200,MATCH(B38,Master!$E$5:$E$200,0))),"")</f>
        <v/>
      </c>
      <c r="D38" s="5"/>
      <c r="E38" s="5"/>
      <c r="F38" s="5"/>
      <c r="G38" s="5"/>
      <c r="H38" s="5"/>
      <c r="I38" s="5"/>
      <c r="J38" s="5"/>
      <c r="K38" s="5"/>
      <c r="L38" s="5"/>
      <c r="M38" s="5"/>
      <c r="N38" s="5"/>
      <c r="O38" s="5"/>
      <c r="P38" s="14" t="str">
        <f t="shared" si="1"/>
        <v/>
      </c>
      <c r="Q38" s="8" t="str">
        <f>IF(Master!$B$42="","",Master!$B$42)</f>
        <v/>
      </c>
      <c r="R38" s="8" t="str">
        <f>IF(Master!$E$42="","",Master!$E$42)</f>
        <v>RED SIMLA</v>
      </c>
    </row>
    <row r="39" spans="1:19" ht="21.95" customHeight="1" x14ac:dyDescent="0.25">
      <c r="A39" s="12">
        <v>35</v>
      </c>
      <c r="B39" s="6"/>
      <c r="C39" s="13" t="str">
        <f>IFERROR(IF(B39="","",INDEX(Master!$F$5:$F$200,MATCH(B39,Master!$E$5:$E$200,0))),"")</f>
        <v/>
      </c>
      <c r="D39" s="5"/>
      <c r="E39" s="5"/>
      <c r="F39" s="5"/>
      <c r="G39" s="5"/>
      <c r="H39" s="5"/>
      <c r="I39" s="5"/>
      <c r="J39" s="5"/>
      <c r="K39" s="5"/>
      <c r="L39" s="5"/>
      <c r="M39" s="5"/>
      <c r="N39" s="5"/>
      <c r="O39" s="5"/>
      <c r="P39" s="14" t="str">
        <f t="shared" si="1"/>
        <v/>
      </c>
      <c r="Q39" s="8" t="str">
        <f>IF(Master!$B$43="","",Master!$B$43)</f>
        <v/>
      </c>
      <c r="R39" s="8" t="str">
        <f>IF(Master!$E$43="","",Master!$E$43)</f>
        <v>YELLOW SIMLA</v>
      </c>
    </row>
    <row r="40" spans="1:19" ht="21.95" customHeight="1" x14ac:dyDescent="0.25">
      <c r="A40" s="12">
        <v>36</v>
      </c>
      <c r="B40" s="6"/>
      <c r="C40" s="13" t="str">
        <f>IFERROR(IF(B40="","",INDEX(Master!$F$5:$F$200,MATCH(B40,Master!$E$5:$E$200,0))),"")</f>
        <v/>
      </c>
      <c r="D40" s="5"/>
      <c r="E40" s="5"/>
      <c r="F40" s="5"/>
      <c r="G40" s="5"/>
      <c r="H40" s="5"/>
      <c r="I40" s="5"/>
      <c r="J40" s="5"/>
      <c r="K40" s="5"/>
      <c r="L40" s="5"/>
      <c r="M40" s="5"/>
      <c r="N40" s="5"/>
      <c r="O40" s="5"/>
      <c r="P40" s="14" t="str">
        <f t="shared" si="1"/>
        <v/>
      </c>
      <c r="Q40" s="8" t="str">
        <f>IF(Master!$B$44="","",Master!$B$44)</f>
        <v/>
      </c>
      <c r="R40" s="8" t="str">
        <f>IF(Master!$E$44="","",Master!$E$44)</f>
        <v>BROKALI</v>
      </c>
    </row>
    <row r="41" spans="1:19" ht="21.95" customHeight="1" x14ac:dyDescent="0.25">
      <c r="A41" s="12">
        <v>37</v>
      </c>
      <c r="B41" s="6"/>
      <c r="C41" s="13" t="str">
        <f>IFERROR(IF(B41="","",INDEX(Master!$F$5:$F$200,MATCH(B41,Master!$E$5:$E$200,0))),"")</f>
        <v/>
      </c>
      <c r="D41" s="5"/>
      <c r="E41" s="5"/>
      <c r="F41" s="5"/>
      <c r="G41" s="5"/>
      <c r="H41" s="5"/>
      <c r="I41" s="5"/>
      <c r="J41" s="5"/>
      <c r="K41" s="5"/>
      <c r="L41" s="5"/>
      <c r="M41" s="5"/>
      <c r="N41" s="5"/>
      <c r="O41" s="5"/>
      <c r="P41" s="14" t="str">
        <f t="shared" si="1"/>
        <v/>
      </c>
      <c r="Q41" s="8" t="str">
        <f>IF(Master!$B$45="","",Master!$B$45)</f>
        <v/>
      </c>
      <c r="R41" s="8" t="str">
        <f>IF(Master!$E$45="","",Master!$E$45)</f>
        <v>GREEN TEA</v>
      </c>
    </row>
    <row r="42" spans="1:19" ht="21.95" customHeight="1" x14ac:dyDescent="0.25">
      <c r="A42" s="12">
        <v>38</v>
      </c>
      <c r="B42" s="6"/>
      <c r="C42" s="13" t="str">
        <f>IFERROR(IF(B42="","",INDEX(Master!$F$5:$F$200,MATCH(B42,Master!$E$5:$E$200,0))),"")</f>
        <v/>
      </c>
      <c r="D42" s="5"/>
      <c r="E42" s="5"/>
      <c r="F42" s="5"/>
      <c r="G42" s="5"/>
      <c r="H42" s="5"/>
      <c r="I42" s="5"/>
      <c r="J42" s="5"/>
      <c r="K42" s="5"/>
      <c r="L42" s="5"/>
      <c r="M42" s="5"/>
      <c r="N42" s="5"/>
      <c r="O42" s="5"/>
      <c r="P42" s="14" t="str">
        <f t="shared" si="1"/>
        <v/>
      </c>
      <c r="Q42" s="8" t="str">
        <f>IF(Master!$B$46="","",Master!$B$46)</f>
        <v/>
      </c>
      <c r="R42" s="8" t="str">
        <f>IF(Master!$E$46="","",Master!$E$46)</f>
        <v>BABY CORN</v>
      </c>
    </row>
    <row r="43" spans="1:19" ht="21.95" customHeight="1" x14ac:dyDescent="0.25">
      <c r="A43" s="12">
        <v>39</v>
      </c>
      <c r="B43" s="6"/>
      <c r="C43" s="13" t="str">
        <f>IFERROR(IF(B43="","",INDEX(Master!$F$5:$F$200,MATCH(B43,Master!$E$5:$E$200,0))),"")</f>
        <v/>
      </c>
      <c r="D43" s="5"/>
      <c r="E43" s="5"/>
      <c r="F43" s="5"/>
      <c r="G43" s="5"/>
      <c r="H43" s="5"/>
      <c r="I43" s="5"/>
      <c r="J43" s="5"/>
      <c r="K43" s="5"/>
      <c r="L43" s="5"/>
      <c r="M43" s="5"/>
      <c r="N43" s="5"/>
      <c r="O43" s="5"/>
      <c r="P43" s="14" t="str">
        <f t="shared" si="1"/>
        <v/>
      </c>
      <c r="Q43" s="8" t="str">
        <f>IF(Master!$B$47="","",Master!$B$47)</f>
        <v/>
      </c>
      <c r="R43" s="8" t="str">
        <f>IF(Master!$E$47="","",Master!$E$47)</f>
        <v>LETTUCE</v>
      </c>
    </row>
    <row r="44" spans="1:19" ht="21.95" customHeight="1" x14ac:dyDescent="0.25">
      <c r="A44" s="12">
        <v>40</v>
      </c>
      <c r="B44" s="6"/>
      <c r="C44" s="13" t="str">
        <f>IFERROR(IF(B44="","",INDEX(Master!$F$5:$F$200,MATCH(B44,Master!$E$5:$E$200,0))),"")</f>
        <v/>
      </c>
      <c r="D44" s="5"/>
      <c r="E44" s="5"/>
      <c r="F44" s="5"/>
      <c r="G44" s="5"/>
      <c r="H44" s="5"/>
      <c r="I44" s="5"/>
      <c r="J44" s="5"/>
      <c r="K44" s="5"/>
      <c r="L44" s="5"/>
      <c r="M44" s="5"/>
      <c r="N44" s="5"/>
      <c r="O44" s="5"/>
      <c r="P44" s="14" t="str">
        <f t="shared" si="1"/>
        <v/>
      </c>
      <c r="Q44" s="8" t="str">
        <f>IF(Master!$B$48="","",Master!$B$48)</f>
        <v/>
      </c>
      <c r="R44" s="8" t="str">
        <f>IF(Master!$E$48="","",Master!$E$48)</f>
        <v>CELERY</v>
      </c>
    </row>
    <row r="45" spans="1:19" ht="21.95" customHeight="1" x14ac:dyDescent="0.25">
      <c r="A45" s="12">
        <v>41</v>
      </c>
      <c r="B45" s="6"/>
      <c r="C45" s="13" t="str">
        <f>IFERROR(IF(B45="","",INDEX(Master!$F$5:$F$200,MATCH(B45,Master!$E$5:$E$200,0))),"")</f>
        <v/>
      </c>
      <c r="D45" s="5"/>
      <c r="E45" s="5"/>
      <c r="F45" s="5"/>
      <c r="G45" s="5"/>
      <c r="H45" s="5"/>
      <c r="I45" s="5"/>
      <c r="J45" s="5"/>
      <c r="K45" s="5"/>
      <c r="L45" s="5"/>
      <c r="M45" s="5"/>
      <c r="N45" s="5"/>
      <c r="O45" s="5"/>
      <c r="P45" s="14" t="str">
        <f t="shared" si="1"/>
        <v/>
      </c>
      <c r="Q45" s="8" t="str">
        <f>IF(Master!$B$49="","",Master!$B$49)</f>
        <v/>
      </c>
      <c r="R45" s="8" t="str">
        <f>IF(Master!$E$49="","",Master!$E$49)</f>
        <v>PARSLEY</v>
      </c>
    </row>
    <row r="46" spans="1:19" ht="21.95" customHeight="1" x14ac:dyDescent="0.25">
      <c r="A46" s="12">
        <v>42</v>
      </c>
      <c r="B46" s="6"/>
      <c r="C46" s="13" t="str">
        <f>IFERROR(IF(B46="","",INDEX(Master!$F$5:$F$200,MATCH(B46,Master!$E$5:$E$200,0))),"")</f>
        <v/>
      </c>
      <c r="D46" s="5"/>
      <c r="E46" s="5"/>
      <c r="F46" s="5"/>
      <c r="G46" s="5"/>
      <c r="H46" s="5"/>
      <c r="I46" s="5"/>
      <c r="J46" s="5"/>
      <c r="K46" s="5"/>
      <c r="L46" s="5"/>
      <c r="M46" s="5"/>
      <c r="N46" s="5"/>
      <c r="O46" s="5"/>
      <c r="P46" s="14" t="str">
        <f t="shared" si="1"/>
        <v/>
      </c>
      <c r="Q46" s="8" t="str">
        <f>IF(Master!$B$50="","",Master!$B$50)</f>
        <v/>
      </c>
      <c r="R46" s="8" t="str">
        <f>IF(Master!$E$50="","",Master!$E$50)</f>
        <v>BASIL</v>
      </c>
    </row>
    <row r="47" spans="1:19" ht="21.95" customHeight="1" x14ac:dyDescent="0.25">
      <c r="A47" s="12">
        <v>43</v>
      </c>
      <c r="B47" s="6"/>
      <c r="C47" s="13" t="str">
        <f>IFERROR(IF(B47="","",INDEX(Master!$F$5:$F$200,MATCH(B47,Master!$E$5:$E$200,0))),"")</f>
        <v/>
      </c>
      <c r="D47" s="5"/>
      <c r="E47" s="5"/>
      <c r="F47" s="5"/>
      <c r="G47" s="5"/>
      <c r="H47" s="5"/>
      <c r="I47" s="5"/>
      <c r="J47" s="5"/>
      <c r="K47" s="5"/>
      <c r="L47" s="5"/>
      <c r="M47" s="5"/>
      <c r="N47" s="5"/>
      <c r="O47" s="5"/>
      <c r="P47" s="14" t="str">
        <f t="shared" si="1"/>
        <v/>
      </c>
      <c r="Q47" s="8" t="str">
        <f>IF(Master!$B$51="","",Master!$B$51)</f>
        <v/>
      </c>
      <c r="R47" s="8" t="str">
        <f>IF(Master!$E$51="","",Master!$E$51)</f>
        <v>FROZEN GARLIC</v>
      </c>
    </row>
    <row r="48" spans="1:19" ht="21.95" customHeight="1" x14ac:dyDescent="0.25">
      <c r="A48" s="12">
        <v>44</v>
      </c>
      <c r="B48" s="6"/>
      <c r="C48" s="13" t="str">
        <f>IFERROR(IF(B48="","",INDEX(Master!$F$5:$F$200,MATCH(B48,Master!$E$5:$E$200,0))),"")</f>
        <v/>
      </c>
      <c r="D48" s="5"/>
      <c r="E48" s="5"/>
      <c r="F48" s="5"/>
      <c r="G48" s="5"/>
      <c r="H48" s="5"/>
      <c r="I48" s="5"/>
      <c r="J48" s="5"/>
      <c r="K48" s="5"/>
      <c r="L48" s="5"/>
      <c r="M48" s="5"/>
      <c r="N48" s="5"/>
      <c r="O48" s="5"/>
      <c r="P48" s="14" t="str">
        <f t="shared" si="1"/>
        <v/>
      </c>
      <c r="Q48" s="8" t="str">
        <f>IF(Master!$B$52="","",Master!$B$52)</f>
        <v/>
      </c>
      <c r="R48" s="8" t="str">
        <f>IF(Master!$E$52="","",Master!$E$52)</f>
        <v>FROZEN MATAR</v>
      </c>
    </row>
    <row r="49" spans="1:18" ht="21.95" customHeight="1" x14ac:dyDescent="0.25">
      <c r="A49" s="12">
        <v>45</v>
      </c>
      <c r="B49" s="6"/>
      <c r="C49" s="13" t="str">
        <f>IFERROR(IF(B49="","",INDEX(Master!$F$5:$F$200,MATCH(B49,Master!$E$5:$E$200,0))),"")</f>
        <v/>
      </c>
      <c r="D49" s="5"/>
      <c r="E49" s="5"/>
      <c r="F49" s="5"/>
      <c r="G49" s="5"/>
      <c r="H49" s="5"/>
      <c r="I49" s="5"/>
      <c r="J49" s="5"/>
      <c r="K49" s="5"/>
      <c r="L49" s="5"/>
      <c r="M49" s="5"/>
      <c r="N49" s="5"/>
      <c r="O49" s="5"/>
      <c r="P49" s="14" t="str">
        <f t="shared" si="1"/>
        <v/>
      </c>
      <c r="Q49" s="8" t="str">
        <f>IF(Master!$B$53="","",Master!$B$53)</f>
        <v/>
      </c>
      <c r="R49" s="8" t="str">
        <f>IF(Master!$E$53="","",Master!$E$53)</f>
        <v>FROZEN CORN</v>
      </c>
    </row>
    <row r="50" spans="1:18" ht="21.95" customHeight="1" x14ac:dyDescent="0.25">
      <c r="A50" s="12">
        <v>46</v>
      </c>
      <c r="B50" s="6"/>
      <c r="C50" s="13" t="str">
        <f>IFERROR(IF(B50="","",INDEX(Master!$F$5:$F$200,MATCH(B50,Master!$E$5:$E$200,0))),"")</f>
        <v/>
      </c>
      <c r="D50" s="5"/>
      <c r="E50" s="5"/>
      <c r="F50" s="5"/>
      <c r="G50" s="5"/>
      <c r="H50" s="5"/>
      <c r="I50" s="5"/>
      <c r="J50" s="5"/>
      <c r="K50" s="5"/>
      <c r="L50" s="5"/>
      <c r="M50" s="5"/>
      <c r="N50" s="5"/>
      <c r="O50" s="5"/>
      <c r="P50" s="14" t="str">
        <f t="shared" si="1"/>
        <v/>
      </c>
      <c r="Q50" s="8" t="str">
        <f>IF(Master!$B$54="","",Master!$B$54)</f>
        <v/>
      </c>
      <c r="R50" s="8" t="str">
        <f>IF(Master!$E$54="","",Master!$E$54)</f>
        <v>JHUGUI</v>
      </c>
    </row>
    <row r="51" spans="1:18" ht="21.95" customHeight="1" x14ac:dyDescent="0.25">
      <c r="A51" s="12">
        <v>47</v>
      </c>
      <c r="B51" s="6"/>
      <c r="C51" s="13" t="str">
        <f>IFERROR(IF(B51="","",INDEX(Master!$F$5:$F$200,MATCH(B51,Master!$E$5:$E$200,0))),"")</f>
        <v/>
      </c>
      <c r="D51" s="5"/>
      <c r="E51" s="5"/>
      <c r="F51" s="5"/>
      <c r="G51" s="5"/>
      <c r="H51" s="5"/>
      <c r="I51" s="5"/>
      <c r="J51" s="5"/>
      <c r="K51" s="5"/>
      <c r="L51" s="5"/>
      <c r="M51" s="5"/>
      <c r="N51" s="5"/>
      <c r="O51" s="5"/>
      <c r="P51" s="14" t="str">
        <f t="shared" si="1"/>
        <v/>
      </c>
      <c r="Q51" s="8" t="str">
        <f>IF(Master!$B$55="","",Master!$B$55)</f>
        <v/>
      </c>
      <c r="R51" s="8" t="str">
        <f>IF(Master!$E$55="","",Master!$E$55)</f>
        <v>APPLE</v>
      </c>
    </row>
    <row r="52" spans="1:18" ht="21.95" customHeight="1" x14ac:dyDescent="0.25">
      <c r="A52" s="12">
        <v>48</v>
      </c>
      <c r="B52" s="6"/>
      <c r="C52" s="13" t="str">
        <f>IFERROR(IF(B52="","",INDEX(Master!$F$5:$F$200,MATCH(B52,Master!$E$5:$E$200,0))),"")</f>
        <v/>
      </c>
      <c r="D52" s="5"/>
      <c r="E52" s="5"/>
      <c r="F52" s="5"/>
      <c r="G52" s="5"/>
      <c r="H52" s="5"/>
      <c r="I52" s="5"/>
      <c r="J52" s="5"/>
      <c r="K52" s="5"/>
      <c r="L52" s="5"/>
      <c r="M52" s="5"/>
      <c r="N52" s="5"/>
      <c r="O52" s="5"/>
      <c r="P52" s="14" t="str">
        <f t="shared" si="1"/>
        <v/>
      </c>
      <c r="Q52" s="8" t="str">
        <f>IF(Master!$B$56="","",Master!$B$56)</f>
        <v/>
      </c>
      <c r="R52" s="8" t="str">
        <f>IF(Master!$E$56="","",Master!$E$56)</f>
        <v>ORANGE</v>
      </c>
    </row>
    <row r="53" spans="1:18" ht="21.95" customHeight="1" x14ac:dyDescent="0.25">
      <c r="A53" s="12">
        <v>49</v>
      </c>
      <c r="B53" s="6"/>
      <c r="C53" s="13" t="str">
        <f>IFERROR(IF(B53="","",INDEX(Master!$F$5:$F$200,MATCH(B53,Master!$E$5:$E$200,0))),"")</f>
        <v/>
      </c>
      <c r="D53" s="5"/>
      <c r="E53" s="5"/>
      <c r="F53" s="5"/>
      <c r="G53" s="5"/>
      <c r="H53" s="5"/>
      <c r="I53" s="5"/>
      <c r="J53" s="5"/>
      <c r="K53" s="5"/>
      <c r="L53" s="5"/>
      <c r="M53" s="5"/>
      <c r="N53" s="5"/>
      <c r="O53" s="5"/>
      <c r="P53" s="14" t="str">
        <f t="shared" si="1"/>
        <v/>
      </c>
      <c r="Q53" s="8" t="str">
        <f>IF(Master!$B$57="","",Master!$B$57)</f>
        <v/>
      </c>
      <c r="R53" s="8" t="str">
        <f>IF(Master!$E$57="","",Master!$E$57)</f>
        <v>GUAVA</v>
      </c>
    </row>
    <row r="54" spans="1:18" ht="21.95" customHeight="1" x14ac:dyDescent="0.25">
      <c r="A54" s="12">
        <v>50</v>
      </c>
      <c r="B54" s="6"/>
      <c r="C54" s="13" t="str">
        <f>IFERROR(IF(B54="","",INDEX(Master!$F$5:$F$200,MATCH(B54,Master!$E$5:$E$200,0))),"")</f>
        <v/>
      </c>
      <c r="D54" s="5"/>
      <c r="E54" s="5"/>
      <c r="F54" s="5"/>
      <c r="G54" s="5"/>
      <c r="H54" s="5"/>
      <c r="I54" s="5"/>
      <c r="J54" s="5"/>
      <c r="K54" s="5"/>
      <c r="L54" s="5"/>
      <c r="M54" s="5"/>
      <c r="N54" s="5"/>
      <c r="O54" s="5"/>
      <c r="P54" s="14" t="str">
        <f t="shared" si="1"/>
        <v/>
      </c>
      <c r="Q54" s="8" t="str">
        <f>IF(Master!$B$58="","",Master!$B$58)</f>
        <v/>
      </c>
      <c r="R54" s="8" t="str">
        <f>IF(Master!$E$58="","",Master!$E$58)</f>
        <v>CHIKU</v>
      </c>
    </row>
    <row r="55" spans="1:18" ht="21.95" customHeight="1" x14ac:dyDescent="0.25">
      <c r="A55" s="12">
        <v>51</v>
      </c>
      <c r="B55" s="6"/>
      <c r="C55" s="13" t="str">
        <f>IFERROR(IF(B55="","",INDEX(Master!$F$5:$F$200,MATCH(B55,Master!$E$5:$E$200,0))),"")</f>
        <v/>
      </c>
      <c r="D55" s="5"/>
      <c r="E55" s="5"/>
      <c r="F55" s="5"/>
      <c r="G55" s="5"/>
      <c r="H55" s="5"/>
      <c r="I55" s="5"/>
      <c r="J55" s="5"/>
      <c r="K55" s="5"/>
      <c r="L55" s="5"/>
      <c r="M55" s="5"/>
      <c r="N55" s="5"/>
      <c r="O55" s="5"/>
      <c r="P55" s="14" t="str">
        <f t="shared" si="1"/>
        <v/>
      </c>
      <c r="Q55" s="8" t="str">
        <f>IF(Master!$B$59="","",Master!$B$59)</f>
        <v/>
      </c>
      <c r="R55" s="8" t="str">
        <f>IF(Master!$E$59="","",Master!$E$59)</f>
        <v>BANANA</v>
      </c>
    </row>
    <row r="56" spans="1:18" ht="21.95" customHeight="1" x14ac:dyDescent="0.25">
      <c r="A56" s="12">
        <v>52</v>
      </c>
      <c r="B56" s="6"/>
      <c r="C56" s="13" t="str">
        <f>IFERROR(IF(B56="","",INDEX(Master!$F$5:$F$200,MATCH(B56,Master!$E$5:$E$200,0))),"")</f>
        <v/>
      </c>
      <c r="D56" s="5"/>
      <c r="E56" s="5"/>
      <c r="F56" s="5"/>
      <c r="G56" s="5"/>
      <c r="H56" s="5"/>
      <c r="I56" s="5"/>
      <c r="J56" s="5"/>
      <c r="K56" s="5"/>
      <c r="L56" s="5"/>
      <c r="M56" s="5"/>
      <c r="N56" s="5"/>
      <c r="O56" s="5"/>
      <c r="P56" s="14" t="str">
        <f t="shared" si="1"/>
        <v/>
      </c>
      <c r="Q56" s="8" t="str">
        <f>IF(Master!$B$60="","",Master!$B$60)</f>
        <v/>
      </c>
      <c r="R56" s="8" t="str">
        <f>IF(Master!$E$60="","",Master!$E$60)</f>
        <v>PLUMS</v>
      </c>
    </row>
    <row r="57" spans="1:18" ht="21.95" customHeight="1" x14ac:dyDescent="0.25">
      <c r="A57" s="12">
        <v>53</v>
      </c>
      <c r="B57" s="6"/>
      <c r="C57" s="13" t="str">
        <f>IFERROR(IF(B57="","",INDEX(Master!$F$5:$F$200,MATCH(B57,Master!$E$5:$E$200,0))),"")</f>
        <v/>
      </c>
      <c r="D57" s="5"/>
      <c r="E57" s="5"/>
      <c r="F57" s="5"/>
      <c r="G57" s="5"/>
      <c r="H57" s="5"/>
      <c r="I57" s="5"/>
      <c r="J57" s="5"/>
      <c r="K57" s="5"/>
      <c r="L57" s="5"/>
      <c r="M57" s="5"/>
      <c r="N57" s="5"/>
      <c r="O57" s="5"/>
      <c r="P57" s="14" t="str">
        <f t="shared" si="1"/>
        <v/>
      </c>
      <c r="Q57" s="8" t="str">
        <f>IF(Master!$B$61="","",Master!$B$61)</f>
        <v/>
      </c>
      <c r="R57" s="8" t="str">
        <f>IF(Master!$E$61="","",Master!$E$61)</f>
        <v>POME GRANATE</v>
      </c>
    </row>
    <row r="58" spans="1:18" ht="21.95" customHeight="1" x14ac:dyDescent="0.25">
      <c r="A58" s="12">
        <v>54</v>
      </c>
      <c r="B58" s="6"/>
      <c r="C58" s="13" t="str">
        <f>IFERROR(IF(B58="","",INDEX(Master!$F$5:$F$200,MATCH(B58,Master!$E$5:$E$200,0))),"")</f>
        <v/>
      </c>
      <c r="D58" s="5"/>
      <c r="E58" s="5"/>
      <c r="F58" s="5"/>
      <c r="G58" s="5"/>
      <c r="H58" s="5"/>
      <c r="I58" s="5"/>
      <c r="J58" s="5"/>
      <c r="K58" s="5"/>
      <c r="L58" s="5"/>
      <c r="M58" s="5"/>
      <c r="N58" s="5"/>
      <c r="O58" s="5"/>
      <c r="P58" s="14" t="str">
        <f t="shared" si="1"/>
        <v/>
      </c>
      <c r="Q58" s="8" t="str">
        <f>IF(Master!$B$62="","",Master!$B$62)</f>
        <v/>
      </c>
      <c r="R58" s="8" t="str">
        <f>IF(Master!$E$62="","",Master!$E$62)</f>
        <v>GRAPS</v>
      </c>
    </row>
    <row r="59" spans="1:18" ht="21.95" customHeight="1" x14ac:dyDescent="0.25">
      <c r="A59" s="12">
        <v>55</v>
      </c>
      <c r="B59" s="6"/>
      <c r="C59" s="13" t="str">
        <f>IFERROR(IF(B59="","",INDEX(Master!$F$5:$F$200,MATCH(B59,Master!$E$5:$E$200,0))),"")</f>
        <v/>
      </c>
      <c r="D59" s="5"/>
      <c r="E59" s="5"/>
      <c r="F59" s="5"/>
      <c r="G59" s="5"/>
      <c r="H59" s="5"/>
      <c r="I59" s="5"/>
      <c r="J59" s="5"/>
      <c r="K59" s="5"/>
      <c r="L59" s="5"/>
      <c r="M59" s="5"/>
      <c r="N59" s="5"/>
      <c r="O59" s="5"/>
      <c r="P59" s="14" t="str">
        <f t="shared" si="1"/>
        <v/>
      </c>
      <c r="Q59" s="8" t="str">
        <f>IF(Master!$B$63="","",Master!$B$63)</f>
        <v/>
      </c>
      <c r="R59" s="8" t="str">
        <f>IF(Master!$E$63="","",Master!$E$63)</f>
        <v>WATER MELON</v>
      </c>
    </row>
    <row r="60" spans="1:18" ht="21.95" customHeight="1" x14ac:dyDescent="0.25">
      <c r="A60" s="12">
        <v>56</v>
      </c>
      <c r="B60" s="6"/>
      <c r="C60" s="13" t="str">
        <f>IFERROR(IF(B60="","",INDEX(Master!$F$5:$F$200,MATCH(B60,Master!$E$5:$E$200,0))),"")</f>
        <v/>
      </c>
      <c r="D60" s="5"/>
      <c r="E60" s="5"/>
      <c r="F60" s="5"/>
      <c r="G60" s="5"/>
      <c r="H60" s="5"/>
      <c r="I60" s="5"/>
      <c r="J60" s="5"/>
      <c r="K60" s="5"/>
      <c r="L60" s="5"/>
      <c r="M60" s="5"/>
      <c r="N60" s="5"/>
      <c r="O60" s="5"/>
      <c r="P60" s="14" t="str">
        <f t="shared" si="1"/>
        <v/>
      </c>
      <c r="Q60" s="8" t="str">
        <f>IF(Master!$B$64="","",Master!$B$64)</f>
        <v/>
      </c>
      <c r="R60" s="8" t="str">
        <f>IF(Master!$E$64="","",Master!$E$64)</f>
        <v>PAPAYA</v>
      </c>
    </row>
    <row r="61" spans="1:18" ht="21.95" customHeight="1" x14ac:dyDescent="0.25">
      <c r="A61" s="12">
        <v>57</v>
      </c>
      <c r="B61" s="6"/>
      <c r="C61" s="13" t="str">
        <f>IFERROR(IF(B61="","",INDEX(Master!$F$5:$F$200,MATCH(B61,Master!$E$5:$E$200,0))),"")</f>
        <v/>
      </c>
      <c r="D61" s="5"/>
      <c r="E61" s="5"/>
      <c r="F61" s="5"/>
      <c r="G61" s="5"/>
      <c r="H61" s="5"/>
      <c r="I61" s="5"/>
      <c r="J61" s="5"/>
      <c r="K61" s="5"/>
      <c r="L61" s="5"/>
      <c r="M61" s="5"/>
      <c r="N61" s="5"/>
      <c r="O61" s="5"/>
      <c r="P61" s="14" t="str">
        <f t="shared" si="1"/>
        <v/>
      </c>
      <c r="Q61" s="8" t="str">
        <f>IF(Master!$B$65="","",Master!$B$65)</f>
        <v/>
      </c>
      <c r="R61" s="8" t="str">
        <f>IF(Master!$E$65="","",Master!$E$65)</f>
        <v>MOSAMBI</v>
      </c>
    </row>
    <row r="62" spans="1:18" ht="21.95" customHeight="1" x14ac:dyDescent="0.25">
      <c r="A62" s="12">
        <v>58</v>
      </c>
      <c r="B62" s="6"/>
      <c r="C62" s="13" t="str">
        <f>IFERROR(IF(B62="","",INDEX(Master!$F$5:$F$200,MATCH(B62,Master!$E$5:$E$200,0))),"")</f>
        <v/>
      </c>
      <c r="D62" s="5"/>
      <c r="E62" s="5"/>
      <c r="F62" s="5"/>
      <c r="G62" s="5"/>
      <c r="H62" s="5"/>
      <c r="I62" s="5"/>
      <c r="J62" s="5"/>
      <c r="K62" s="5"/>
      <c r="L62" s="5"/>
      <c r="M62" s="5"/>
      <c r="N62" s="5"/>
      <c r="O62" s="5"/>
      <c r="P62" s="14" t="str">
        <f t="shared" si="1"/>
        <v/>
      </c>
      <c r="Q62" s="8" t="str">
        <f>IF(Master!$B$66="","",Master!$B$66)</f>
        <v/>
      </c>
      <c r="R62" s="8" t="str">
        <f>IF(Master!$E$66="","",Master!$E$66)</f>
        <v>MUSK MELON</v>
      </c>
    </row>
    <row r="63" spans="1:18" ht="21.95" customHeight="1" x14ac:dyDescent="0.25">
      <c r="A63" s="12">
        <v>59</v>
      </c>
      <c r="B63" s="6"/>
      <c r="C63" s="13" t="str">
        <f>IFERROR(IF(B63="","",INDEX(Master!$F$5:$F$200,MATCH(B63,Master!$E$5:$E$200,0))),"")</f>
        <v/>
      </c>
      <c r="D63" s="5"/>
      <c r="E63" s="5"/>
      <c r="F63" s="5"/>
      <c r="G63" s="5"/>
      <c r="H63" s="5"/>
      <c r="I63" s="5"/>
      <c r="J63" s="5"/>
      <c r="K63" s="5"/>
      <c r="L63" s="5"/>
      <c r="M63" s="5"/>
      <c r="N63" s="5"/>
      <c r="O63" s="5"/>
      <c r="P63" s="14" t="str">
        <f t="shared" si="1"/>
        <v/>
      </c>
      <c r="Q63" s="8" t="str">
        <f>IF(Master!$B$67="","",Master!$B$67)</f>
        <v/>
      </c>
      <c r="R63" s="8" t="str">
        <f>IF(Master!$E$67="","",Master!$E$67)</f>
        <v>MANGO / STRAWBERRY</v>
      </c>
    </row>
    <row r="64" spans="1:18" ht="21.95" customHeight="1" x14ac:dyDescent="0.25">
      <c r="A64" s="12">
        <v>60</v>
      </c>
      <c r="B64" s="6"/>
      <c r="C64" s="13" t="str">
        <f>IFERROR(IF(B64="","",INDEX(Master!$F$5:$F$200,MATCH(B64,Master!$E$5:$E$200,0))),"")</f>
        <v/>
      </c>
      <c r="D64" s="5"/>
      <c r="E64" s="5"/>
      <c r="F64" s="5"/>
      <c r="G64" s="5"/>
      <c r="H64" s="5"/>
      <c r="I64" s="5"/>
      <c r="J64" s="5"/>
      <c r="K64" s="5"/>
      <c r="L64" s="5"/>
      <c r="M64" s="5"/>
      <c r="N64" s="5"/>
      <c r="O64" s="5"/>
      <c r="P64" s="14" t="str">
        <f t="shared" si="1"/>
        <v/>
      </c>
      <c r="Q64" s="8" t="str">
        <f>IF(Master!$B$68="","",Master!$B$68)</f>
        <v/>
      </c>
      <c r="R64" s="8" t="str">
        <f>IF(Master!$E$68="","",Master!$E$68)</f>
        <v>PINEAPPLE</v>
      </c>
    </row>
    <row r="65" spans="17:18" x14ac:dyDescent="0.25">
      <c r="Q65" s="8" t="str">
        <f>IF(Master!$B$69="","",Master!$B$69)</f>
        <v/>
      </c>
      <c r="R65" s="8" t="str">
        <f>IF(Master!$E$69="","",Master!$E$69)</f>
        <v>NARIYAL PANI</v>
      </c>
    </row>
    <row r="66" spans="17:18" x14ac:dyDescent="0.25">
      <c r="Q66" s="8" t="str">
        <f>IF(Master!$B$70="","",Master!$B$70)</f>
        <v/>
      </c>
      <c r="R66" s="8" t="str">
        <f>IF(Master!$E$70="","",Master!$E$70)</f>
        <v>PANIPURI</v>
      </c>
    </row>
    <row r="67" spans="17:18" x14ac:dyDescent="0.25">
      <c r="Q67" s="8" t="str">
        <f>IF(Master!$B$71="","",Master!$B$71)</f>
        <v/>
      </c>
      <c r="R67" s="8" t="str">
        <f>IF(Master!$E$71="","",Master!$E$71)</f>
        <v>COLD DRINK</v>
      </c>
    </row>
    <row r="68" spans="17:18" x14ac:dyDescent="0.25">
      <c r="Q68" s="8" t="str">
        <f>IF(Master!$B$72="","",Master!$B$72)</f>
        <v/>
      </c>
      <c r="R68" s="8" t="str">
        <f>IF(Master!$E$72="","",Master!$E$72)</f>
        <v>BUTTER</v>
      </c>
    </row>
    <row r="69" spans="17:18" x14ac:dyDescent="0.25">
      <c r="Q69" s="8" t="str">
        <f>IF(Master!$B$73="","",Master!$B$73)</f>
        <v/>
      </c>
      <c r="R69" s="8" t="str">
        <f>IF(Master!$E$73="","",Master!$E$73)</f>
        <v>CHEESE</v>
      </c>
    </row>
    <row r="70" spans="17:18" x14ac:dyDescent="0.25">
      <c r="Q70" s="8" t="str">
        <f>IF(Master!$B$74="","",Master!$B$74)</f>
        <v/>
      </c>
      <c r="R70" s="8" t="str">
        <f>IF(Master!$E$74="","",Master!$E$74)</f>
        <v>PANEER</v>
      </c>
    </row>
    <row r="71" spans="17:18" x14ac:dyDescent="0.25">
      <c r="Q71" s="8" t="str">
        <f>IF(Master!$B$75="","",Master!$B$75)</f>
        <v/>
      </c>
      <c r="R71" s="8" t="str">
        <f>IF(Master!$E$75="","",Master!$E$75)</f>
        <v>BRADE</v>
      </c>
    </row>
    <row r="72" spans="17:18" x14ac:dyDescent="0.25">
      <c r="Q72" s="8" t="str">
        <f>IF(Master!$B$76="","",Master!$B$76)</f>
        <v/>
      </c>
      <c r="R72" s="8" t="str">
        <f>IF(Master!$E$76="","",Master!$E$76)</f>
        <v>PAV BHAJI / DABELI PAV</v>
      </c>
    </row>
    <row r="73" spans="17:18" x14ac:dyDescent="0.25">
      <c r="Q73" s="8" t="str">
        <f>IF(Master!$B$77="","",Master!$B$77)</f>
        <v/>
      </c>
      <c r="R73" s="8" t="str">
        <f>IF(Master!$E$77="","",Master!$E$77)</f>
        <v/>
      </c>
    </row>
    <row r="74" spans="17:18" x14ac:dyDescent="0.25">
      <c r="Q74" s="8" t="str">
        <f>IF(Master!$B$78="","",Master!$B$78)</f>
        <v/>
      </c>
      <c r="R74" s="8" t="str">
        <f>IF(Master!$E$78="","",Master!$E$78)</f>
        <v/>
      </c>
    </row>
    <row r="75" spans="17:18" x14ac:dyDescent="0.25">
      <c r="Q75" s="8" t="str">
        <f>IF(Master!$B$79="","",Master!$B$79)</f>
        <v/>
      </c>
      <c r="R75" s="8" t="str">
        <f>IF(Master!$E$79="","",Master!$E$79)</f>
        <v/>
      </c>
    </row>
    <row r="76" spans="17:18" x14ac:dyDescent="0.25">
      <c r="Q76" s="8" t="str">
        <f>IF(Master!$B$80="","",Master!$B$80)</f>
        <v/>
      </c>
      <c r="R76" s="8" t="str">
        <f>IF(Master!$E$80="","",Master!$E$80)</f>
        <v/>
      </c>
    </row>
    <row r="77" spans="17:18" x14ac:dyDescent="0.25">
      <c r="Q77" s="8" t="str">
        <f>IF(Master!$B$81="","",Master!$B$81)</f>
        <v/>
      </c>
      <c r="R77" s="8" t="str">
        <f>IF(Master!$E$81="","",Master!$E$81)</f>
        <v/>
      </c>
    </row>
    <row r="78" spans="17:18" x14ac:dyDescent="0.25">
      <c r="Q78" s="8" t="str">
        <f>IF(Master!$B$82="","",Master!$B$82)</f>
        <v/>
      </c>
      <c r="R78" s="8" t="str">
        <f>IF(Master!$E$82="","",Master!$E$82)</f>
        <v/>
      </c>
    </row>
    <row r="79" spans="17:18" x14ac:dyDescent="0.25">
      <c r="Q79" s="8" t="str">
        <f>IF(Master!$B$83="","",Master!$B$83)</f>
        <v/>
      </c>
      <c r="R79" s="8" t="str">
        <f>IF(Master!$E$83="","",Master!$E$83)</f>
        <v/>
      </c>
    </row>
    <row r="80" spans="17:18" x14ac:dyDescent="0.25">
      <c r="Q80" s="8" t="str">
        <f>IF(Master!$B$84="","",Master!$B$84)</f>
        <v/>
      </c>
      <c r="R80" s="8" t="str">
        <f>IF(Master!$E$84="","",Master!$E$84)</f>
        <v/>
      </c>
    </row>
    <row r="81" spans="17:18" x14ac:dyDescent="0.25">
      <c r="Q81" s="8" t="str">
        <f>IF(Master!$B$85="","",Master!$B$85)</f>
        <v/>
      </c>
      <c r="R81" s="8" t="str">
        <f>IF(Master!$E$85="","",Master!$E$85)</f>
        <v/>
      </c>
    </row>
    <row r="82" spans="17:18" x14ac:dyDescent="0.25">
      <c r="Q82" s="8" t="str">
        <f>IF(Master!$B$86="","",Master!$B$86)</f>
        <v/>
      </c>
      <c r="R82" s="8" t="str">
        <f>IF(Master!$E$86="","",Master!$E$86)</f>
        <v/>
      </c>
    </row>
    <row r="83" spans="17:18" x14ac:dyDescent="0.25">
      <c r="Q83" s="8" t="str">
        <f>IF(Master!$B$87="","",Master!$B$87)</f>
        <v/>
      </c>
      <c r="R83" s="8" t="str">
        <f>IF(Master!$E$87="","",Master!$E$87)</f>
        <v/>
      </c>
    </row>
    <row r="84" spans="17:18" x14ac:dyDescent="0.25">
      <c r="Q84" s="8" t="str">
        <f>IF(Master!$B$88="","",Master!$B$88)</f>
        <v/>
      </c>
      <c r="R84" s="8" t="str">
        <f>IF(Master!$E$88="","",Master!$E$88)</f>
        <v/>
      </c>
    </row>
    <row r="85" spans="17:18" x14ac:dyDescent="0.25">
      <c r="Q85" s="8" t="str">
        <f>IF(Master!$B$89="","",Master!$B$89)</f>
        <v/>
      </c>
      <c r="R85" s="8" t="str">
        <f>IF(Master!$E$89="","",Master!$E$89)</f>
        <v/>
      </c>
    </row>
    <row r="86" spans="17:18" x14ac:dyDescent="0.25">
      <c r="Q86" s="8" t="str">
        <f>IF(Master!$B$90="","",Master!$B$90)</f>
        <v/>
      </c>
      <c r="R86" s="8" t="str">
        <f>IF(Master!$E$90="","",Master!$E$90)</f>
        <v/>
      </c>
    </row>
    <row r="87" spans="17:18" x14ac:dyDescent="0.25">
      <c r="Q87" s="8" t="str">
        <f>IF(Master!$B$91="","",Master!$B$91)</f>
        <v/>
      </c>
      <c r="R87" s="8" t="str">
        <f>IF(Master!$E$91="","",Master!$E$91)</f>
        <v/>
      </c>
    </row>
    <row r="88" spans="17:18" x14ac:dyDescent="0.25">
      <c r="Q88" s="8" t="str">
        <f>IF(Master!$B$92="","",Master!$B$92)</f>
        <v/>
      </c>
      <c r="R88" s="8" t="str">
        <f>IF(Master!$E$92="","",Master!$E$92)</f>
        <v/>
      </c>
    </row>
    <row r="89" spans="17:18" x14ac:dyDescent="0.25">
      <c r="Q89" s="8" t="str">
        <f>IF(Master!$B$93="","",Master!$B$93)</f>
        <v/>
      </c>
      <c r="R89" s="8" t="str">
        <f>IF(Master!$E$93="","",Master!$E$93)</f>
        <v/>
      </c>
    </row>
    <row r="90" spans="17:18" x14ac:dyDescent="0.25">
      <c r="Q90" s="8" t="str">
        <f>IF(Master!$B$94="","",Master!$B$94)</f>
        <v/>
      </c>
      <c r="R90" s="8" t="str">
        <f>IF(Master!$E$94="","",Master!$E$94)</f>
        <v/>
      </c>
    </row>
    <row r="91" spans="17:18" x14ac:dyDescent="0.25">
      <c r="Q91" s="8" t="str">
        <f>IF(Master!$B$95="","",Master!$B$95)</f>
        <v/>
      </c>
      <c r="R91" s="8" t="str">
        <f>IF(Master!$E$95="","",Master!$E$95)</f>
        <v/>
      </c>
    </row>
    <row r="92" spans="17:18" x14ac:dyDescent="0.25">
      <c r="Q92" s="8" t="str">
        <f>IF(Master!$B$96="","",Master!$B$96)</f>
        <v/>
      </c>
      <c r="R92" s="8" t="str">
        <f>IF(Master!$E$96="","",Master!$E$96)</f>
        <v/>
      </c>
    </row>
    <row r="93" spans="17:18" x14ac:dyDescent="0.25">
      <c r="Q93" s="8" t="str">
        <f>IF(Master!$B$97="","",Master!$B$97)</f>
        <v/>
      </c>
      <c r="R93" s="8" t="str">
        <f>IF(Master!$E$97="","",Master!$E$97)</f>
        <v/>
      </c>
    </row>
    <row r="94" spans="17:18" x14ac:dyDescent="0.25">
      <c r="Q94" s="8" t="str">
        <f>IF(Master!$B$98="","",Master!$B$98)</f>
        <v/>
      </c>
      <c r="R94" s="8" t="str">
        <f>IF(Master!$E$98="","",Master!$E$98)</f>
        <v/>
      </c>
    </row>
    <row r="95" spans="17:18" x14ac:dyDescent="0.25">
      <c r="Q95" s="8" t="str">
        <f>IF(Master!$B$99="","",Master!$B$99)</f>
        <v/>
      </c>
      <c r="R95" s="8" t="str">
        <f>IF(Master!$E$99="","",Master!$E$99)</f>
        <v/>
      </c>
    </row>
    <row r="96" spans="17:18" x14ac:dyDescent="0.25">
      <c r="Q96" s="8" t="str">
        <f>IF(Master!$B$100="","",Master!$B$100)</f>
        <v/>
      </c>
      <c r="R96" s="8" t="str">
        <f>IF(Master!$E$100="","",Master!$E$100)</f>
        <v/>
      </c>
    </row>
    <row r="97" spans="18:18" x14ac:dyDescent="0.25">
      <c r="R97" s="8" t="str">
        <f>IF(Master!$E$101="","",Master!$E$101)</f>
        <v/>
      </c>
    </row>
    <row r="98" spans="18:18" x14ac:dyDescent="0.25">
      <c r="R98" s="8" t="str">
        <f>IF(Master!$E$102="","",Master!$E$102)</f>
        <v/>
      </c>
    </row>
    <row r="99" spans="18:18" x14ac:dyDescent="0.25">
      <c r="R99" s="8" t="str">
        <f>IF(Master!$E$103="","",Master!$E$103)</f>
        <v/>
      </c>
    </row>
    <row r="100" spans="18:18" x14ac:dyDescent="0.25">
      <c r="R100" s="8" t="str">
        <f>IF(Master!$E$104="","",Master!$E$104)</f>
        <v/>
      </c>
    </row>
    <row r="101" spans="18:18" x14ac:dyDescent="0.25">
      <c r="R101" s="8" t="str">
        <f>IF(Master!$E$105="","",Master!$E$105)</f>
        <v/>
      </c>
    </row>
    <row r="102" spans="18:18" x14ac:dyDescent="0.25">
      <c r="R102" s="8" t="str">
        <f>IF(Master!$E$106="","",Master!$E$106)</f>
        <v/>
      </c>
    </row>
    <row r="103" spans="18:18" x14ac:dyDescent="0.25">
      <c r="R103" s="8" t="str">
        <f>IF(Master!$E$107="","",Master!$E$107)</f>
        <v/>
      </c>
    </row>
    <row r="104" spans="18:18" x14ac:dyDescent="0.25">
      <c r="R104" s="8" t="str">
        <f>IF(Master!$E$108="","",Master!$E$108)</f>
        <v/>
      </c>
    </row>
    <row r="105" spans="18:18" x14ac:dyDescent="0.25">
      <c r="R105" s="8" t="str">
        <f>IF(Master!$E$109="","",Master!$E$109)</f>
        <v/>
      </c>
    </row>
    <row r="106" spans="18:18" x14ac:dyDescent="0.25">
      <c r="R106" s="8" t="str">
        <f>IF(Master!$E$110="","",Master!$E$110)</f>
        <v/>
      </c>
    </row>
    <row r="107" spans="18:18" x14ac:dyDescent="0.25">
      <c r="R107" s="8" t="str">
        <f>IF(Master!$E$111="","",Master!$E$111)</f>
        <v/>
      </c>
    </row>
    <row r="108" spans="18:18" x14ac:dyDescent="0.25">
      <c r="R108" s="8" t="str">
        <f>IF(Master!$E$112="","",Master!$E$112)</f>
        <v/>
      </c>
    </row>
    <row r="109" spans="18:18" x14ac:dyDescent="0.25">
      <c r="R109" s="8" t="str">
        <f>IF(Master!$E$113="","",Master!$E$113)</f>
        <v/>
      </c>
    </row>
    <row r="110" spans="18:18" x14ac:dyDescent="0.25">
      <c r="R110" s="8" t="str">
        <f>IF(Master!$E$114="","",Master!$E$114)</f>
        <v/>
      </c>
    </row>
    <row r="111" spans="18:18" x14ac:dyDescent="0.25">
      <c r="R111" s="8" t="str">
        <f>IF(Master!$E$115="","",Master!$E$115)</f>
        <v/>
      </c>
    </row>
    <row r="112" spans="18:18" x14ac:dyDescent="0.25">
      <c r="R112" s="8" t="str">
        <f>IF(Master!$E$116="","",Master!$E$116)</f>
        <v/>
      </c>
    </row>
    <row r="113" spans="18:18" x14ac:dyDescent="0.25">
      <c r="R113" s="8" t="str">
        <f>IF(Master!$E$117="","",Master!$E$117)</f>
        <v/>
      </c>
    </row>
    <row r="114" spans="18:18" x14ac:dyDescent="0.25">
      <c r="R114" s="8" t="str">
        <f>IF(Master!$E$118="","",Master!$E$118)</f>
        <v/>
      </c>
    </row>
    <row r="115" spans="18:18" x14ac:dyDescent="0.25">
      <c r="R115" s="8" t="str">
        <f>IF(Master!$E$119="","",Master!$E$119)</f>
        <v/>
      </c>
    </row>
    <row r="116" spans="18:18" x14ac:dyDescent="0.25">
      <c r="R116" s="8" t="str">
        <f>IF(Master!$E$120="","",Master!$E$120)</f>
        <v/>
      </c>
    </row>
    <row r="117" spans="18:18" x14ac:dyDescent="0.25">
      <c r="R117" s="8" t="str">
        <f>IF(Master!$E$121="","",Master!$E$121)</f>
        <v/>
      </c>
    </row>
    <row r="118" spans="18:18" x14ac:dyDescent="0.25">
      <c r="R118" s="8" t="str">
        <f>IF(Master!$E$122="","",Master!$E$122)</f>
        <v/>
      </c>
    </row>
    <row r="119" spans="18:18" x14ac:dyDescent="0.25">
      <c r="R119" s="8" t="str">
        <f>IF(Master!$E$123="","",Master!$E$123)</f>
        <v/>
      </c>
    </row>
    <row r="120" spans="18:18" x14ac:dyDescent="0.25">
      <c r="R120" s="8" t="str">
        <f>IF(Master!$E$124="","",Master!$E$124)</f>
        <v/>
      </c>
    </row>
    <row r="121" spans="18:18" x14ac:dyDescent="0.25">
      <c r="R121" s="8" t="str">
        <f>IF(Master!$E$125="","",Master!$E$125)</f>
        <v/>
      </c>
    </row>
    <row r="122" spans="18:18" x14ac:dyDescent="0.25">
      <c r="R122" s="8" t="str">
        <f>IF(Master!$E$126="","",Master!$E$126)</f>
        <v/>
      </c>
    </row>
    <row r="123" spans="18:18" x14ac:dyDescent="0.25">
      <c r="R123" s="8" t="str">
        <f>IF(Master!$E$127="","",Master!$E$127)</f>
        <v/>
      </c>
    </row>
    <row r="124" spans="18:18" x14ac:dyDescent="0.25">
      <c r="R124" s="8" t="str">
        <f>IF(Master!$E$128="","",Master!$E$128)</f>
        <v/>
      </c>
    </row>
    <row r="125" spans="18:18" x14ac:dyDescent="0.25">
      <c r="R125" s="8" t="str">
        <f>IF(Master!$E$129="","",Master!$E$129)</f>
        <v/>
      </c>
    </row>
    <row r="126" spans="18:18" x14ac:dyDescent="0.25">
      <c r="R126" s="8" t="str">
        <f>IF(Master!$E$130="","",Master!$E$130)</f>
        <v/>
      </c>
    </row>
    <row r="127" spans="18:18" x14ac:dyDescent="0.25">
      <c r="R127" s="8" t="str">
        <f>IF(Master!$E$131="","",Master!$E$131)</f>
        <v/>
      </c>
    </row>
    <row r="128" spans="18:18" x14ac:dyDescent="0.25">
      <c r="R128" s="8" t="str">
        <f>IF(Master!$E$132="","",Master!$E$132)</f>
        <v/>
      </c>
    </row>
    <row r="129" spans="18:18" x14ac:dyDescent="0.25">
      <c r="R129" s="8" t="str">
        <f>IF(Master!$E$133="","",Master!$E$133)</f>
        <v/>
      </c>
    </row>
    <row r="130" spans="18:18" x14ac:dyDescent="0.25">
      <c r="R130" s="8" t="str">
        <f>IF(Master!$E$134="","",Master!$E$134)</f>
        <v/>
      </c>
    </row>
    <row r="131" spans="18:18" x14ac:dyDescent="0.25">
      <c r="R131" s="8" t="str">
        <f>IF(Master!$E$135="","",Master!$E$135)</f>
        <v/>
      </c>
    </row>
    <row r="132" spans="18:18" x14ac:dyDescent="0.25">
      <c r="R132" s="8" t="str">
        <f>IF(Master!$E$136="","",Master!$E$136)</f>
        <v/>
      </c>
    </row>
    <row r="133" spans="18:18" x14ac:dyDescent="0.25">
      <c r="R133" s="8" t="str">
        <f>IF(Master!$E$137="","",Master!$E$137)</f>
        <v/>
      </c>
    </row>
    <row r="134" spans="18:18" x14ac:dyDescent="0.25">
      <c r="R134" s="8" t="str">
        <f>IF(Master!$E$138="","",Master!$E$138)</f>
        <v/>
      </c>
    </row>
    <row r="135" spans="18:18" x14ac:dyDescent="0.25">
      <c r="R135" s="8" t="str">
        <f>IF(Master!$E$139="","",Master!$E$139)</f>
        <v/>
      </c>
    </row>
    <row r="136" spans="18:18" x14ac:dyDescent="0.25">
      <c r="R136" s="8" t="str">
        <f>IF(Master!$E$140="","",Master!$E$140)</f>
        <v/>
      </c>
    </row>
    <row r="137" spans="18:18" x14ac:dyDescent="0.25">
      <c r="R137" s="8" t="str">
        <f>IF(Master!$E$141="","",Master!$E$141)</f>
        <v/>
      </c>
    </row>
    <row r="138" spans="18:18" x14ac:dyDescent="0.25">
      <c r="R138" s="8" t="str">
        <f>IF(Master!$E$142="","",Master!$E$142)</f>
        <v/>
      </c>
    </row>
    <row r="139" spans="18:18" x14ac:dyDescent="0.25">
      <c r="R139" s="8" t="str">
        <f>IF(Master!$E$143="","",Master!$E$143)</f>
        <v/>
      </c>
    </row>
    <row r="140" spans="18:18" x14ac:dyDescent="0.25">
      <c r="R140" s="8" t="str">
        <f>IF(Master!$E$144="","",Master!$E$144)</f>
        <v/>
      </c>
    </row>
    <row r="141" spans="18:18" x14ac:dyDescent="0.25">
      <c r="R141" s="8" t="str">
        <f>IF(Master!$E$145="","",Master!$E$145)</f>
        <v/>
      </c>
    </row>
    <row r="142" spans="18:18" x14ac:dyDescent="0.25">
      <c r="R142" s="8" t="str">
        <f>IF(Master!$E$146="","",Master!$E$146)</f>
        <v/>
      </c>
    </row>
    <row r="143" spans="18:18" x14ac:dyDescent="0.25">
      <c r="R143" s="8" t="str">
        <f>IF(Master!$E$147="","",Master!$E$147)</f>
        <v/>
      </c>
    </row>
    <row r="144" spans="18:18" x14ac:dyDescent="0.25">
      <c r="R144" s="8" t="str">
        <f>IF(Master!$E$148="","",Master!$E$148)</f>
        <v/>
      </c>
    </row>
    <row r="145" spans="18:18" x14ac:dyDescent="0.25">
      <c r="R145" s="8" t="str">
        <f>IF(Master!$E$149="","",Master!$E$149)</f>
        <v/>
      </c>
    </row>
    <row r="146" spans="18:18" x14ac:dyDescent="0.25">
      <c r="R146" s="8" t="str">
        <f>IF(Master!$E$150="","",Master!$E$150)</f>
        <v/>
      </c>
    </row>
    <row r="147" spans="18:18" x14ac:dyDescent="0.25">
      <c r="R147" s="8" t="str">
        <f>IF(Master!$E$151="","",Master!$E$151)</f>
        <v/>
      </c>
    </row>
    <row r="148" spans="18:18" x14ac:dyDescent="0.25">
      <c r="R148" s="8" t="str">
        <f>IF(Master!$E$152="","",Master!$E$152)</f>
        <v/>
      </c>
    </row>
    <row r="149" spans="18:18" x14ac:dyDescent="0.25">
      <c r="R149" s="8" t="str">
        <f>IF(Master!$E$153="","",Master!$E$153)</f>
        <v/>
      </c>
    </row>
    <row r="150" spans="18:18" x14ac:dyDescent="0.25">
      <c r="R150" s="8" t="str">
        <f>IF(Master!$E$154="","",Master!$E$154)</f>
        <v/>
      </c>
    </row>
    <row r="151" spans="18:18" x14ac:dyDescent="0.25">
      <c r="R151" s="8" t="str">
        <f>IF(Master!$E$155="","",Master!$E$155)</f>
        <v/>
      </c>
    </row>
    <row r="152" spans="18:18" x14ac:dyDescent="0.25">
      <c r="R152" s="8" t="str">
        <f>IF(Master!$E$156="","",Master!$E$156)</f>
        <v/>
      </c>
    </row>
    <row r="153" spans="18:18" x14ac:dyDescent="0.25">
      <c r="R153" s="8" t="str">
        <f>IF(Master!$E$157="","",Master!$E$157)</f>
        <v/>
      </c>
    </row>
    <row r="154" spans="18:18" x14ac:dyDescent="0.25">
      <c r="R154" s="8" t="str">
        <f>IF(Master!$E$158="","",Master!$E$158)</f>
        <v/>
      </c>
    </row>
    <row r="155" spans="18:18" x14ac:dyDescent="0.25">
      <c r="R155" s="8" t="str">
        <f>IF(Master!$E$159="","",Master!$E$159)</f>
        <v/>
      </c>
    </row>
    <row r="156" spans="18:18" x14ac:dyDescent="0.25">
      <c r="R156" s="8" t="str">
        <f>IF(Master!$E$160="","",Master!$E$160)</f>
        <v/>
      </c>
    </row>
    <row r="157" spans="18:18" x14ac:dyDescent="0.25">
      <c r="R157" s="8" t="str">
        <f>IF(Master!$E$161="","",Master!$E$161)</f>
        <v/>
      </c>
    </row>
    <row r="158" spans="18:18" x14ac:dyDescent="0.25">
      <c r="R158" s="8" t="str">
        <f>IF(Master!$E$162="","",Master!$E$162)</f>
        <v/>
      </c>
    </row>
    <row r="159" spans="18:18" x14ac:dyDescent="0.25">
      <c r="R159" s="8" t="str">
        <f>IF(Master!$E$163="","",Master!$E$163)</f>
        <v/>
      </c>
    </row>
    <row r="160" spans="18:18" x14ac:dyDescent="0.25">
      <c r="R160" s="8" t="str">
        <f>IF(Master!$E$164="","",Master!$E$164)</f>
        <v/>
      </c>
    </row>
    <row r="161" spans="18:18" x14ac:dyDescent="0.25">
      <c r="R161" s="8" t="str">
        <f>IF(Master!$E$165="","",Master!$E$165)</f>
        <v/>
      </c>
    </row>
    <row r="162" spans="18:18" x14ac:dyDescent="0.25">
      <c r="R162" s="8" t="str">
        <f>IF(Master!$E$166="","",Master!$E$166)</f>
        <v/>
      </c>
    </row>
    <row r="163" spans="18:18" x14ac:dyDescent="0.25">
      <c r="R163" s="8" t="str">
        <f>IF(Master!$E$167="","",Master!$E$167)</f>
        <v/>
      </c>
    </row>
    <row r="164" spans="18:18" x14ac:dyDescent="0.25">
      <c r="R164" s="8" t="str">
        <f>IF(Master!$E$168="","",Master!$E$168)</f>
        <v/>
      </c>
    </row>
    <row r="165" spans="18:18" x14ac:dyDescent="0.25">
      <c r="R165" s="8" t="str">
        <f>IF(Master!$E$169="","",Master!$E$169)</f>
        <v/>
      </c>
    </row>
    <row r="166" spans="18:18" x14ac:dyDescent="0.25">
      <c r="R166" s="8" t="str">
        <f>IF(Master!$E$170="","",Master!$E$170)</f>
        <v/>
      </c>
    </row>
    <row r="167" spans="18:18" x14ac:dyDescent="0.25">
      <c r="R167" s="8" t="str">
        <f>IF(Master!$E$171="","",Master!$E$171)</f>
        <v/>
      </c>
    </row>
    <row r="168" spans="18:18" x14ac:dyDescent="0.25">
      <c r="R168" s="8" t="str">
        <f>IF(Master!$E$172="","",Master!$E$172)</f>
        <v/>
      </c>
    </row>
    <row r="169" spans="18:18" x14ac:dyDescent="0.25">
      <c r="R169" s="8" t="str">
        <f>IF(Master!$E$173="","",Master!$E$173)</f>
        <v/>
      </c>
    </row>
    <row r="170" spans="18:18" x14ac:dyDescent="0.25">
      <c r="R170" s="8" t="str">
        <f>IF(Master!$E$174="","",Master!$E$174)</f>
        <v/>
      </c>
    </row>
    <row r="171" spans="18:18" x14ac:dyDescent="0.25">
      <c r="R171" s="8" t="str">
        <f>IF(Master!$E$175="","",Master!$E$175)</f>
        <v/>
      </c>
    </row>
    <row r="172" spans="18:18" x14ac:dyDescent="0.25">
      <c r="R172" s="8" t="str">
        <f>IF(Master!$E$176="","",Master!$E$176)</f>
        <v/>
      </c>
    </row>
    <row r="173" spans="18:18" x14ac:dyDescent="0.25">
      <c r="R173" s="8" t="str">
        <f>IF(Master!$E$177="","",Master!$E$177)</f>
        <v/>
      </c>
    </row>
    <row r="174" spans="18:18" x14ac:dyDescent="0.25">
      <c r="R174" s="8" t="str">
        <f>IF(Master!$E$178="","",Master!$E$178)</f>
        <v/>
      </c>
    </row>
    <row r="175" spans="18:18" x14ac:dyDescent="0.25">
      <c r="R175" s="8" t="str">
        <f>IF(Master!$E$179="","",Master!$E$179)</f>
        <v/>
      </c>
    </row>
    <row r="176" spans="18:18" x14ac:dyDescent="0.25">
      <c r="R176" s="8" t="str">
        <f>IF(Master!$E$180="","",Master!$E$180)</f>
        <v/>
      </c>
    </row>
    <row r="177" spans="18:18" x14ac:dyDescent="0.25">
      <c r="R177" s="8" t="str">
        <f>IF(Master!$E$181="","",Master!$E$181)</f>
        <v/>
      </c>
    </row>
    <row r="178" spans="18:18" x14ac:dyDescent="0.25">
      <c r="R178" s="8" t="str">
        <f>IF(Master!$E$182="","",Master!$E$182)</f>
        <v/>
      </c>
    </row>
    <row r="179" spans="18:18" x14ac:dyDescent="0.25">
      <c r="R179" s="8" t="str">
        <f>IF(Master!$E$183="","",Master!$E$183)</f>
        <v/>
      </c>
    </row>
    <row r="180" spans="18:18" x14ac:dyDescent="0.25">
      <c r="R180" s="8" t="str">
        <f>IF(Master!$E$184="","",Master!$E$184)</f>
        <v/>
      </c>
    </row>
    <row r="181" spans="18:18" x14ac:dyDescent="0.25">
      <c r="R181" s="8" t="str">
        <f>IF(Master!$E$185="","",Master!$E$185)</f>
        <v/>
      </c>
    </row>
    <row r="182" spans="18:18" x14ac:dyDescent="0.25">
      <c r="R182" s="8" t="str">
        <f>IF(Master!$E$186="","",Master!$E$186)</f>
        <v/>
      </c>
    </row>
    <row r="183" spans="18:18" x14ac:dyDescent="0.25">
      <c r="R183" s="8" t="str">
        <f>IF(Master!$E$187="","",Master!$E$187)</f>
        <v/>
      </c>
    </row>
    <row r="184" spans="18:18" x14ac:dyDescent="0.25">
      <c r="R184" s="8" t="str">
        <f>IF(Master!$E$188="","",Master!$E$188)</f>
        <v/>
      </c>
    </row>
    <row r="185" spans="18:18" x14ac:dyDescent="0.25">
      <c r="R185" s="8" t="str">
        <f>IF(Master!$E$189="","",Master!$E$189)</f>
        <v/>
      </c>
    </row>
    <row r="186" spans="18:18" x14ac:dyDescent="0.25">
      <c r="R186" s="8" t="str">
        <f>IF(Master!$E$190="","",Master!$E$190)</f>
        <v/>
      </c>
    </row>
    <row r="187" spans="18:18" x14ac:dyDescent="0.25">
      <c r="R187" s="8" t="str">
        <f>IF(Master!$E$191="","",Master!$E$191)</f>
        <v/>
      </c>
    </row>
    <row r="188" spans="18:18" x14ac:dyDescent="0.25">
      <c r="R188" s="8" t="str">
        <f>IF(Master!$E$192="","",Master!$E$192)</f>
        <v/>
      </c>
    </row>
    <row r="189" spans="18:18" x14ac:dyDescent="0.25">
      <c r="R189" s="8" t="str">
        <f>IF(Master!$E$193="","",Master!$E$193)</f>
        <v/>
      </c>
    </row>
    <row r="190" spans="18:18" x14ac:dyDescent="0.25">
      <c r="R190" s="8" t="str">
        <f>IF(Master!$E$194="","",Master!$E$194)</f>
        <v/>
      </c>
    </row>
    <row r="191" spans="18:18" x14ac:dyDescent="0.25">
      <c r="R191" s="8" t="str">
        <f>IF(Master!$E$195="","",Master!$E$195)</f>
        <v/>
      </c>
    </row>
    <row r="192" spans="18:18" x14ac:dyDescent="0.25">
      <c r="R192" s="8" t="str">
        <f>IF(Master!$E$196="","",Master!$E$196)</f>
        <v/>
      </c>
    </row>
    <row r="193" spans="18:18" x14ac:dyDescent="0.25">
      <c r="R193" s="8" t="str">
        <f>IF(Master!$E$197="","",Master!$E$197)</f>
        <v/>
      </c>
    </row>
    <row r="194" spans="18:18" x14ac:dyDescent="0.25">
      <c r="R194" s="8" t="str">
        <f>IF(Master!$E$198="","",Master!$E$198)</f>
        <v/>
      </c>
    </row>
    <row r="195" spans="18:18" x14ac:dyDescent="0.25">
      <c r="R195" s="8" t="str">
        <f>IF(Master!$E$199="","",Master!$E$199)</f>
        <v/>
      </c>
    </row>
    <row r="196" spans="18:18" x14ac:dyDescent="0.25">
      <c r="R196" s="8" t="str">
        <f>IF(Master!$E$200="","",Master!$E$200)</f>
        <v/>
      </c>
    </row>
  </sheetData>
  <mergeCells count="3">
    <mergeCell ref="E2:P2"/>
    <mergeCell ref="A1:P1"/>
    <mergeCell ref="B2:C2"/>
  </mergeCells>
  <dataValidations count="3">
    <dataValidation type="list" allowBlank="1" sqref="B5:B64" xr:uid="{00000000-0002-0000-0200-000000000000}">
      <formula1>$R$1:$R$196</formula1>
    </dataValidation>
    <dataValidation type="list" allowBlank="1" sqref="C5:C64" xr:uid="{00000000-0002-0000-0200-000001000000}">
      <formula1>$S$1:$S$36</formula1>
    </dataValidation>
    <dataValidation type="list" allowBlank="1" sqref="D4:O4" xr:uid="{00000000-0002-0000-0200-000002000000}">
      <formula1>$Q$1:$Q$96</formula1>
    </dataValidation>
  </dataValidations>
  <printOptions horizontalCentered="1"/>
  <pageMargins left="0.3" right="0.3" top="0.4" bottom="0.4"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96"/>
  <sheetViews>
    <sheetView showGridLines="0" workbookViewId="0">
      <pane ySplit="4" topLeftCell="A5" activePane="bottomLeft" state="frozen"/>
      <selection pane="bottomLeft" sqref="A1:D1"/>
    </sheetView>
  </sheetViews>
  <sheetFormatPr defaultRowHeight="15" x14ac:dyDescent="0.25"/>
  <cols>
    <col min="1" max="1" width="6" customWidth="1"/>
    <col min="2" max="2" width="32" customWidth="1"/>
    <col min="3" max="3" width="12" customWidth="1"/>
    <col min="4" max="4" width="16" customWidth="1"/>
    <col min="6" max="8" width="13" hidden="1" customWidth="1"/>
  </cols>
  <sheetData>
    <row r="1" spans="1:8" ht="32.1" customHeight="1" x14ac:dyDescent="0.35">
      <c r="A1" s="15" t="s">
        <v>147</v>
      </c>
      <c r="B1" s="16"/>
      <c r="C1" s="16"/>
      <c r="D1" s="16"/>
      <c r="F1" s="8" t="str">
        <f>IF(Master!$B$5="","",Master!$B$5)</f>
        <v>Fountainhead School</v>
      </c>
      <c r="G1" s="8" t="str">
        <f>IF(Master!$E$5="","",Master!$E$5)</f>
        <v>POTATO</v>
      </c>
      <c r="H1" s="8" t="str">
        <f>IF(Master!$I$5="","",Master!$I$5)</f>
        <v>KG</v>
      </c>
    </row>
    <row r="2" spans="1:8" ht="24" customHeight="1" x14ac:dyDescent="0.25">
      <c r="A2" s="9" t="s">
        <v>141</v>
      </c>
      <c r="B2" s="10"/>
      <c r="C2" s="9" t="s">
        <v>148</v>
      </c>
      <c r="D2" s="6"/>
      <c r="F2" s="8" t="str">
        <f>IF(Master!$B$6="","",Master!$B$6)</f>
        <v>G International-1 (Dandi)</v>
      </c>
      <c r="G2" s="8" t="str">
        <f>IF(Master!$E$6="","",Master!$E$6)</f>
        <v>ONION</v>
      </c>
      <c r="H2" s="8" t="str">
        <f>IF(Master!$I$6="","",Master!$I$6)</f>
        <v>DOZEN</v>
      </c>
    </row>
    <row r="3" spans="1:8" ht="8.1" customHeight="1" x14ac:dyDescent="0.25">
      <c r="F3" s="8" t="str">
        <f>IF(Master!$B$7="","",Master!$B$7)</f>
        <v>G International-2 (DG Corp)</v>
      </c>
      <c r="G3" s="8" t="str">
        <f>IF(Master!$E$7="","",Master!$E$7)</f>
        <v>TOMATO</v>
      </c>
      <c r="H3" s="8" t="str">
        <f>IF(Master!$I$7="","",Master!$I$7)</f>
        <v>PCS</v>
      </c>
    </row>
    <row r="4" spans="1:8" ht="30" customHeight="1" x14ac:dyDescent="0.25">
      <c r="A4" s="1" t="s">
        <v>143</v>
      </c>
      <c r="B4" s="1" t="s">
        <v>144</v>
      </c>
      <c r="C4" s="1" t="s">
        <v>145</v>
      </c>
      <c r="D4" s="1" t="s">
        <v>149</v>
      </c>
      <c r="F4" s="8" t="str">
        <f>IF(Master!$B$8="","",Master!$B$8)</f>
        <v>Gyan Mudra</v>
      </c>
      <c r="G4" s="8" t="str">
        <f>IF(Master!$E$8="","",Master!$E$8)</f>
        <v>GARLIC (LASUN)</v>
      </c>
      <c r="H4" s="8" t="str">
        <f>IF(Master!$I$8="","",Master!$I$8)</f>
        <v>GM</v>
      </c>
    </row>
    <row r="5" spans="1:8" ht="21.95" customHeight="1" x14ac:dyDescent="0.25">
      <c r="A5" s="12">
        <v>1</v>
      </c>
      <c r="B5" s="6"/>
      <c r="C5" s="13" t="str">
        <f>IFERROR(IF(B5="","",INDEX(Master!$F$5:$F$200,MATCH(B5,Master!$E$5:$E$200,0))),"")</f>
        <v/>
      </c>
      <c r="D5" s="7" t="str">
        <f>IFERROR(IF(B5="","",INDEX(Master!$G$5:$G$200,MATCH(B5,Master!$E$5:$E$200,0))),"")</f>
        <v/>
      </c>
      <c r="F5" s="8" t="str">
        <f>IF(Master!$B$9="","",Master!$B$9)</f>
        <v>JNV (Vankal)</v>
      </c>
      <c r="G5" s="8" t="str">
        <f>IF(Master!$E$9="","",Master!$E$9)</f>
        <v>GINGER (ADRAK)</v>
      </c>
      <c r="H5" s="8" t="str">
        <f>IF(Master!$I$9="","",Master!$I$9)</f>
        <v>PACKET</v>
      </c>
    </row>
    <row r="6" spans="1:8" ht="21.95" customHeight="1" x14ac:dyDescent="0.25">
      <c r="A6" s="12">
        <v>2</v>
      </c>
      <c r="B6" s="6"/>
      <c r="C6" s="13" t="str">
        <f>IFERROR(IF(B6="","",INDEX(Master!$F$5:$F$200,MATCH(B6,Master!$E$5:$E$200,0))),"")</f>
        <v/>
      </c>
      <c r="D6" s="7" t="str">
        <f>IFERROR(IF(B6="","",INDEX(Master!$G$5:$G$200,MATCH(B6,Master!$E$5:$E$200,0))),"")</f>
        <v/>
      </c>
      <c r="F6" s="8" t="str">
        <f>IF(Master!$B$10="","",Master!$B$10)</f>
        <v>JNV (Bhajipura)</v>
      </c>
      <c r="G6" s="8" t="str">
        <f>IF(Master!$E$10="","",Master!$E$10)</f>
        <v>GREEN CHILLY</v>
      </c>
      <c r="H6" s="8" t="str">
        <f>IF(Master!$I$10="","",Master!$I$10)</f>
        <v>BUNCH</v>
      </c>
    </row>
    <row r="7" spans="1:8" ht="21.95" customHeight="1" x14ac:dyDescent="0.25">
      <c r="A7" s="12">
        <v>3</v>
      </c>
      <c r="B7" s="6"/>
      <c r="C7" s="13" t="str">
        <f>IFERROR(IF(B7="","",INDEX(Master!$F$5:$F$200,MATCH(B7,Master!$E$5:$E$200,0))),"")</f>
        <v/>
      </c>
      <c r="D7" s="7" t="str">
        <f>IFERROR(IF(B7="","",INDEX(Master!$G$5:$G$200,MATCH(B7,Master!$E$5:$E$200,0))),"")</f>
        <v/>
      </c>
      <c r="F7" s="8" t="str">
        <f>IF(Master!$B$11="","",Master!$B$11)</f>
        <v>Gurukrupa (Udhna)</v>
      </c>
      <c r="G7" s="8" t="str">
        <f>IF(Master!$E$11="","",Master!$E$11)</f>
        <v>FAFADA MIRCH</v>
      </c>
      <c r="H7" s="8" t="str">
        <f>IF(Master!$I$11="","",Master!$I$11)</f>
        <v>BUNDLE</v>
      </c>
    </row>
    <row r="8" spans="1:8" ht="21.95" customHeight="1" x14ac:dyDescent="0.25">
      <c r="A8" s="12">
        <v>4</v>
      </c>
      <c r="B8" s="6"/>
      <c r="C8" s="13" t="str">
        <f>IFERROR(IF(B8="","",INDEX(Master!$F$5:$F$200,MATCH(B8,Master!$E$5:$E$200,0))),"")</f>
        <v/>
      </c>
      <c r="D8" s="7" t="str">
        <f>IFERROR(IF(B8="","",INDEX(Master!$G$5:$G$200,MATCH(B8,Master!$E$5:$E$200,0))),"")</f>
        <v/>
      </c>
      <c r="F8" s="8" t="str">
        <f>IF(Master!$B$12="","",Master!$B$12)</f>
        <v/>
      </c>
      <c r="G8" s="8" t="str">
        <f>IF(Master!$E$12="","",Master!$E$12)</f>
        <v>CORIANDER (DHANIYA)</v>
      </c>
      <c r="H8" s="8" t="str">
        <f>IF(Master!$I$12="","",Master!$I$12)</f>
        <v>BOX</v>
      </c>
    </row>
    <row r="9" spans="1:8" ht="21.95" customHeight="1" x14ac:dyDescent="0.25">
      <c r="A9" s="12">
        <v>5</v>
      </c>
      <c r="B9" s="6"/>
      <c r="C9" s="13" t="str">
        <f>IFERROR(IF(B9="","",INDEX(Master!$F$5:$F$200,MATCH(B9,Master!$E$5:$E$200,0))),"")</f>
        <v/>
      </c>
      <c r="D9" s="7" t="str">
        <f>IFERROR(IF(B9="","",INDEX(Master!$G$5:$G$200,MATCH(B9,Master!$E$5:$E$200,0))),"")</f>
        <v/>
      </c>
      <c r="F9" s="8" t="str">
        <f>IF(Master!$B$13="","",Master!$B$13)</f>
        <v/>
      </c>
      <c r="G9" s="8" t="str">
        <f>IF(Master!$E$13="","",Master!$E$13)</f>
        <v>KOBICH</v>
      </c>
      <c r="H9" s="8" t="str">
        <f>IF(Master!$I$13="","",Master!$I$13)</f>
        <v>CRATE</v>
      </c>
    </row>
    <row r="10" spans="1:8" ht="21.95" customHeight="1" x14ac:dyDescent="0.25">
      <c r="A10" s="12">
        <v>6</v>
      </c>
      <c r="B10" s="6"/>
      <c r="C10" s="13" t="str">
        <f>IFERROR(IF(B10="","",INDEX(Master!$F$5:$F$200,MATCH(B10,Master!$E$5:$E$200,0))),"")</f>
        <v/>
      </c>
      <c r="D10" s="7" t="str">
        <f>IFERROR(IF(B10="","",INDEX(Master!$G$5:$G$200,MATCH(B10,Master!$E$5:$E$200,0))),"")</f>
        <v/>
      </c>
      <c r="F10" s="8" t="str">
        <f>IF(Master!$B$14="","",Master!$B$14)</f>
        <v/>
      </c>
      <c r="G10" s="8" t="str">
        <f>IF(Master!$E$14="","",Master!$E$14)</f>
        <v>GAULI FLOWER</v>
      </c>
      <c r="H10" s="8" t="str">
        <f>IF(Master!$I$14="","",Master!$I$14)</f>
        <v>LITRE</v>
      </c>
    </row>
    <row r="11" spans="1:8" ht="21.95" customHeight="1" x14ac:dyDescent="0.25">
      <c r="A11" s="12">
        <v>7</v>
      </c>
      <c r="B11" s="6"/>
      <c r="C11" s="13" t="str">
        <f>IFERROR(IF(B11="","",INDEX(Master!$F$5:$F$200,MATCH(B11,Master!$E$5:$E$200,0))),"")</f>
        <v/>
      </c>
      <c r="D11" s="7" t="str">
        <f>IFERROR(IF(B11="","",INDEX(Master!$G$5:$G$200,MATCH(B11,Master!$E$5:$E$200,0))),"")</f>
        <v/>
      </c>
      <c r="F11" s="8" t="str">
        <f>IF(Master!$B$15="","",Master!$B$15)</f>
        <v/>
      </c>
      <c r="G11" s="8" t="str">
        <f>IF(Master!$E$15="","",Master!$E$15)</f>
        <v>BINAPATTE KA FLOWER</v>
      </c>
      <c r="H11" s="8" t="str">
        <f>IF(Master!$I$15="","",Master!$I$15)</f>
        <v>GUNI</v>
      </c>
    </row>
    <row r="12" spans="1:8" ht="21.95" customHeight="1" x14ac:dyDescent="0.25">
      <c r="A12" s="12">
        <v>8</v>
      </c>
      <c r="B12" s="6"/>
      <c r="C12" s="13" t="str">
        <f>IFERROR(IF(B12="","",INDEX(Master!$F$5:$F$200,MATCH(B12,Master!$E$5:$E$200,0))),"")</f>
        <v/>
      </c>
      <c r="D12" s="7" t="str">
        <f>IFERROR(IF(B12="","",INDEX(Master!$G$5:$G$200,MATCH(B12,Master!$E$5:$E$200,0))),"")</f>
        <v/>
      </c>
      <c r="F12" s="8" t="str">
        <f>IF(Master!$B$16="","",Master!$B$16)</f>
        <v/>
      </c>
      <c r="G12" s="8" t="str">
        <f>IF(Master!$E$16="","",Master!$E$16)</f>
        <v>LAUKI</v>
      </c>
      <c r="H12" s="8" t="str">
        <f>IF(Master!$I$16="","",Master!$I$16)</f>
        <v/>
      </c>
    </row>
    <row r="13" spans="1:8" ht="21.95" customHeight="1" x14ac:dyDescent="0.25">
      <c r="A13" s="12">
        <v>9</v>
      </c>
      <c r="B13" s="6"/>
      <c r="C13" s="13" t="str">
        <f>IFERROR(IF(B13="","",INDEX(Master!$F$5:$F$200,MATCH(B13,Master!$E$5:$E$200,0))),"")</f>
        <v/>
      </c>
      <c r="D13" s="7" t="str">
        <f>IFERROR(IF(B13="","",INDEX(Master!$G$5:$G$200,MATCH(B13,Master!$E$5:$E$200,0))),"")</f>
        <v/>
      </c>
      <c r="F13" s="8" t="str">
        <f>IF(Master!$B$17="","",Master!$B$17)</f>
        <v/>
      </c>
      <c r="G13" s="8" t="str">
        <f>IF(Master!$E$17="","",Master!$E$17)</f>
        <v>BHINDI</v>
      </c>
      <c r="H13" s="8" t="str">
        <f>IF(Master!$I$17="","",Master!$I$17)</f>
        <v/>
      </c>
    </row>
    <row r="14" spans="1:8" ht="21.95" customHeight="1" x14ac:dyDescent="0.25">
      <c r="A14" s="12">
        <v>10</v>
      </c>
      <c r="B14" s="6"/>
      <c r="C14" s="13" t="str">
        <f>IFERROR(IF(B14="","",INDEX(Master!$F$5:$F$200,MATCH(B14,Master!$E$5:$E$200,0))),"")</f>
        <v/>
      </c>
      <c r="D14" s="7" t="str">
        <f>IFERROR(IF(B14="","",INDEX(Master!$G$5:$G$200,MATCH(B14,Master!$E$5:$E$200,0))),"")</f>
        <v/>
      </c>
      <c r="F14" s="8" t="str">
        <f>IF(Master!$B$18="","",Master!$B$18)</f>
        <v/>
      </c>
      <c r="G14" s="8" t="str">
        <f>IF(Master!$E$18="","",Master!$E$18)</f>
        <v>BRINJAL</v>
      </c>
      <c r="H14" s="8" t="str">
        <f>IF(Master!$I$18="","",Master!$I$18)</f>
        <v/>
      </c>
    </row>
    <row r="15" spans="1:8" ht="21.95" customHeight="1" x14ac:dyDescent="0.25">
      <c r="A15" s="12">
        <v>11</v>
      </c>
      <c r="B15" s="6"/>
      <c r="C15" s="13" t="str">
        <f>IFERROR(IF(B15="","",INDEX(Master!$F$5:$F$200,MATCH(B15,Master!$E$5:$E$200,0))),"")</f>
        <v/>
      </c>
      <c r="D15" s="7" t="str">
        <f>IFERROR(IF(B15="","",INDEX(Master!$G$5:$G$200,MATCH(B15,Master!$E$5:$E$200,0))),"")</f>
        <v/>
      </c>
      <c r="F15" s="8" t="str">
        <f>IF(Master!$B$19="","",Master!$B$19)</f>
        <v/>
      </c>
      <c r="G15" s="8" t="str">
        <f>IF(Master!$E$19="","",Master!$E$19)</f>
        <v>TINDORA</v>
      </c>
      <c r="H15" s="8" t="str">
        <f>IF(Master!$I$19="","",Master!$I$19)</f>
        <v/>
      </c>
    </row>
    <row r="16" spans="1:8" ht="21.95" customHeight="1" x14ac:dyDescent="0.25">
      <c r="A16" s="12">
        <v>12</v>
      </c>
      <c r="B16" s="6"/>
      <c r="C16" s="13" t="str">
        <f>IFERROR(IF(B16="","",INDEX(Master!$F$5:$F$200,MATCH(B16,Master!$E$5:$E$200,0))),"")</f>
        <v/>
      </c>
      <c r="D16" s="7" t="str">
        <f>IFERROR(IF(B16="","",INDEX(Master!$G$5:$G$200,MATCH(B16,Master!$E$5:$E$200,0))),"")</f>
        <v/>
      </c>
      <c r="F16" s="8" t="str">
        <f>IF(Master!$B$20="","",Master!$B$20)</f>
        <v/>
      </c>
      <c r="G16" s="8" t="str">
        <f>IF(Master!$E$20="","",Master!$E$20)</f>
        <v>PARVAL</v>
      </c>
      <c r="H16" s="8" t="str">
        <f>IF(Master!$I$20="","",Master!$I$20)</f>
        <v/>
      </c>
    </row>
    <row r="17" spans="1:8" ht="21.95" customHeight="1" x14ac:dyDescent="0.25">
      <c r="A17" s="12">
        <v>13</v>
      </c>
      <c r="B17" s="6"/>
      <c r="C17" s="13" t="str">
        <f>IFERROR(IF(B17="","",INDEX(Master!$F$5:$F$200,MATCH(B17,Master!$E$5:$E$200,0))),"")</f>
        <v/>
      </c>
      <c r="D17" s="7" t="str">
        <f>IFERROR(IF(B17="","",INDEX(Master!$G$5:$G$200,MATCH(B17,Master!$E$5:$E$200,0))),"")</f>
        <v/>
      </c>
      <c r="F17" s="8" t="str">
        <f>IF(Master!$B$21="","",Master!$B$21)</f>
        <v/>
      </c>
      <c r="G17" s="8" t="str">
        <f>IF(Master!$E$21="","",Master!$E$21)</f>
        <v>TURIYA</v>
      </c>
      <c r="H17" s="8" t="str">
        <f>IF(Master!$I$21="","",Master!$I$21)</f>
        <v/>
      </c>
    </row>
    <row r="18" spans="1:8" ht="21.95" customHeight="1" x14ac:dyDescent="0.25">
      <c r="A18" s="12">
        <v>14</v>
      </c>
      <c r="B18" s="6"/>
      <c r="C18" s="13" t="str">
        <f>IFERROR(IF(B18="","",INDEX(Master!$F$5:$F$200,MATCH(B18,Master!$E$5:$E$200,0))),"")</f>
        <v/>
      </c>
      <c r="D18" s="7" t="str">
        <f>IFERROR(IF(B18="","",INDEX(Master!$G$5:$G$200,MATCH(B18,Master!$E$5:$E$200,0))),"")</f>
        <v/>
      </c>
      <c r="F18" s="8" t="str">
        <f>IF(Master!$B$22="","",Master!$B$22)</f>
        <v/>
      </c>
      <c r="G18" s="8" t="str">
        <f>IF(Master!$E$22="","",Master!$E$22)</f>
        <v>SIMLA MIRCH</v>
      </c>
      <c r="H18" s="8" t="str">
        <f>IF(Master!$I$22="","",Master!$I$22)</f>
        <v/>
      </c>
    </row>
    <row r="19" spans="1:8" ht="21.95" customHeight="1" x14ac:dyDescent="0.25">
      <c r="A19" s="12">
        <v>15</v>
      </c>
      <c r="B19" s="6"/>
      <c r="C19" s="13" t="str">
        <f>IFERROR(IF(B19="","",INDEX(Master!$F$5:$F$200,MATCH(B19,Master!$E$5:$E$200,0))),"")</f>
        <v/>
      </c>
      <c r="D19" s="7" t="str">
        <f>IFERROR(IF(B19="","",INDEX(Master!$G$5:$G$200,MATCH(B19,Master!$E$5:$E$200,0))),"")</f>
        <v/>
      </c>
      <c r="F19" s="8" t="str">
        <f>IF(Master!$B$23="","",Master!$B$23)</f>
        <v/>
      </c>
      <c r="G19" s="8" t="str">
        <f>IF(Master!$E$23="","",Master!$E$23)</f>
        <v>FANSI</v>
      </c>
      <c r="H19" s="8" t="str">
        <f>IF(Master!$I$23="","",Master!$I$23)</f>
        <v/>
      </c>
    </row>
    <row r="20" spans="1:8" ht="21.95" customHeight="1" x14ac:dyDescent="0.25">
      <c r="A20" s="12">
        <v>16</v>
      </c>
      <c r="B20" s="6"/>
      <c r="C20" s="13" t="str">
        <f>IFERROR(IF(B20="","",INDEX(Master!$F$5:$F$200,MATCH(B20,Master!$E$5:$E$200,0))),"")</f>
        <v/>
      </c>
      <c r="D20" s="7" t="str">
        <f>IFERROR(IF(B20="","",INDEX(Master!$G$5:$G$200,MATCH(B20,Master!$E$5:$E$200,0))),"")</f>
        <v/>
      </c>
      <c r="F20" s="8" t="str">
        <f>IF(Master!$B$24="","",Master!$B$24)</f>
        <v/>
      </c>
      <c r="G20" s="8" t="str">
        <f>IF(Master!$E$24="","",Master!$E$24)</f>
        <v>GUVAR</v>
      </c>
      <c r="H20" s="8" t="str">
        <f>IF(Master!$I$24="","",Master!$I$24)</f>
        <v/>
      </c>
    </row>
    <row r="21" spans="1:8" ht="21.95" customHeight="1" x14ac:dyDescent="0.25">
      <c r="A21" s="12">
        <v>17</v>
      </c>
      <c r="B21" s="6"/>
      <c r="C21" s="13" t="str">
        <f>IFERROR(IF(B21="","",INDEX(Master!$F$5:$F$200,MATCH(B21,Master!$E$5:$E$200,0))),"")</f>
        <v/>
      </c>
      <c r="D21" s="7" t="str">
        <f>IFERROR(IF(B21="","",INDEX(Master!$G$5:$G$200,MATCH(B21,Master!$E$5:$E$200,0))),"")</f>
        <v/>
      </c>
      <c r="F21" s="8" t="str">
        <f>IF(Master!$B$25="","",Master!$B$25)</f>
        <v/>
      </c>
      <c r="G21" s="8" t="str">
        <f>IF(Master!$E$25="","",Master!$E$25)</f>
        <v>SARAGVA SING</v>
      </c>
      <c r="H21" s="8" t="str">
        <f>IF(Master!$I$25="","",Master!$I$25)</f>
        <v/>
      </c>
    </row>
    <row r="22" spans="1:8" ht="21.95" customHeight="1" x14ac:dyDescent="0.25">
      <c r="A22" s="12">
        <v>18</v>
      </c>
      <c r="B22" s="6"/>
      <c r="C22" s="13" t="str">
        <f>IFERROR(IF(B22="","",INDEX(Master!$F$5:$F$200,MATCH(B22,Master!$E$5:$E$200,0))),"")</f>
        <v/>
      </c>
      <c r="D22" s="7" t="str">
        <f>IFERROR(IF(B22="","",INDEX(Master!$G$5:$G$200,MATCH(B22,Master!$E$5:$E$200,0))),"")</f>
        <v/>
      </c>
      <c r="F22" s="8" t="str">
        <f>IF(Master!$B$26="","",Master!$B$26)</f>
        <v/>
      </c>
      <c r="G22" s="8" t="str">
        <f>IF(Master!$E$26="","",Master!$E$26)</f>
        <v>GREEN PEACE</v>
      </c>
      <c r="H22" s="8" t="str">
        <f>IF(Master!$I$26="","",Master!$I$26)</f>
        <v/>
      </c>
    </row>
    <row r="23" spans="1:8" ht="21.95" customHeight="1" x14ac:dyDescent="0.25">
      <c r="A23" s="12">
        <v>19</v>
      </c>
      <c r="B23" s="6"/>
      <c r="C23" s="13" t="str">
        <f>IFERROR(IF(B23="","",INDEX(Master!$F$5:$F$200,MATCH(B23,Master!$E$5:$E$200,0))),"")</f>
        <v/>
      </c>
      <c r="D23" s="7" t="str">
        <f>IFERROR(IF(B23="","",INDEX(Master!$G$5:$G$200,MATCH(B23,Master!$E$5:$E$200,0))),"")</f>
        <v/>
      </c>
      <c r="F23" s="8" t="str">
        <f>IF(Master!$B$27="","",Master!$B$27)</f>
        <v/>
      </c>
      <c r="G23" s="8" t="str">
        <f>IF(Master!$E$27="","",Master!$E$27)</f>
        <v>KATARGAM PAP</v>
      </c>
      <c r="H23" s="8" t="str">
        <f>IF(Master!$I$27="","",Master!$I$27)</f>
        <v/>
      </c>
    </row>
    <row r="24" spans="1:8" ht="21.95" customHeight="1" x14ac:dyDescent="0.25">
      <c r="A24" s="12">
        <v>20</v>
      </c>
      <c r="B24" s="6"/>
      <c r="C24" s="13" t="str">
        <f>IFERROR(IF(B24="","",INDEX(Master!$F$5:$F$200,MATCH(B24,Master!$E$5:$E$200,0))),"")</f>
        <v/>
      </c>
      <c r="D24" s="7" t="str">
        <f>IFERROR(IF(B24="","",INDEX(Master!$G$5:$G$200,MATCH(B24,Master!$E$5:$E$200,0))),"")</f>
        <v/>
      </c>
      <c r="F24" s="8" t="str">
        <f>IF(Master!$B$28="","",Master!$B$28)</f>
        <v/>
      </c>
      <c r="G24" s="8" t="str">
        <f>IF(Master!$E$28="","",Master!$E$28)</f>
        <v>WHITE PUMPKIN</v>
      </c>
      <c r="H24" s="8" t="str">
        <f>IF(Master!$I$28="","",Master!$I$28)</f>
        <v/>
      </c>
    </row>
    <row r="25" spans="1:8" ht="21.95" customHeight="1" x14ac:dyDescent="0.25">
      <c r="A25" s="12">
        <v>21</v>
      </c>
      <c r="B25" s="6"/>
      <c r="C25" s="13" t="str">
        <f>IFERROR(IF(B25="","",INDEX(Master!$F$5:$F$200,MATCH(B25,Master!$E$5:$E$200,0))),"")</f>
        <v/>
      </c>
      <c r="D25" s="7" t="str">
        <f>IFERROR(IF(B25="","",INDEX(Master!$G$5:$G$200,MATCH(B25,Master!$E$5:$E$200,0))),"")</f>
        <v/>
      </c>
      <c r="F25" s="8" t="str">
        <f>IF(Master!$B$29="","",Master!$B$29)</f>
        <v/>
      </c>
      <c r="G25" s="8" t="str">
        <f>IF(Master!$E$29="","",Master!$E$29)</f>
        <v>LEMON</v>
      </c>
      <c r="H25" s="8" t="str">
        <f>IF(Master!$I$29="","",Master!$I$29)</f>
        <v/>
      </c>
    </row>
    <row r="26" spans="1:8" ht="21.95" customHeight="1" x14ac:dyDescent="0.25">
      <c r="A26" s="12">
        <v>22</v>
      </c>
      <c r="B26" s="6"/>
      <c r="C26" s="13" t="str">
        <f>IFERROR(IF(B26="","",INDEX(Master!$F$5:$F$200,MATCH(B26,Master!$E$5:$E$200,0))),"")</f>
        <v/>
      </c>
      <c r="D26" s="7" t="str">
        <f>IFERROR(IF(B26="","",INDEX(Master!$G$5:$G$200,MATCH(B26,Master!$E$5:$E$200,0))),"")</f>
        <v/>
      </c>
      <c r="F26" s="8" t="str">
        <f>IF(Master!$B$30="","",Master!$B$30)</f>
        <v/>
      </c>
      <c r="G26" s="8" t="str">
        <f>IF(Master!$E$30="","",Master!$E$30)</f>
        <v>CARROT (RED)</v>
      </c>
      <c r="H26" s="8" t="str">
        <f>IF(Master!$I$30="","",Master!$I$30)</f>
        <v/>
      </c>
    </row>
    <row r="27" spans="1:8" ht="21.95" customHeight="1" x14ac:dyDescent="0.25">
      <c r="A27" s="12">
        <v>23</v>
      </c>
      <c r="B27" s="6"/>
      <c r="C27" s="13" t="str">
        <f>IFERROR(IF(B27="","",INDEX(Master!$F$5:$F$200,MATCH(B27,Master!$E$5:$E$200,0))),"")</f>
        <v/>
      </c>
      <c r="D27" s="7" t="str">
        <f>IFERROR(IF(B27="","",INDEX(Master!$G$5:$G$200,MATCH(B27,Master!$E$5:$E$200,0))),"")</f>
        <v/>
      </c>
      <c r="F27" s="8" t="str">
        <f>IF(Master!$B$31="","",Master!$B$31)</f>
        <v/>
      </c>
      <c r="G27" s="8" t="str">
        <f>IF(Master!$E$31="","",Master!$E$31)</f>
        <v>CARROT (ORANGE)</v>
      </c>
      <c r="H27" s="8" t="str">
        <f>IF(Master!$I$31="","",Master!$I$31)</f>
        <v/>
      </c>
    </row>
    <row r="28" spans="1:8" ht="21.95" customHeight="1" x14ac:dyDescent="0.25">
      <c r="A28" s="12">
        <v>24</v>
      </c>
      <c r="B28" s="6"/>
      <c r="C28" s="13" t="str">
        <f>IFERROR(IF(B28="","",INDEX(Master!$F$5:$F$200,MATCH(B28,Master!$E$5:$E$200,0))),"")</f>
        <v/>
      </c>
      <c r="D28" s="7" t="str">
        <f>IFERROR(IF(B28="","",INDEX(Master!$G$5:$G$200,MATCH(B28,Master!$E$5:$E$200,0))),"")</f>
        <v/>
      </c>
      <c r="F28" s="8" t="str">
        <f>IF(Master!$B$32="","",Master!$B$32)</f>
        <v/>
      </c>
      <c r="G28" s="8" t="str">
        <f>IF(Master!$E$32="","",Master!$E$32)</f>
        <v>KAKDI</v>
      </c>
      <c r="H28" s="8" t="str">
        <f>IF(Master!$I$32="","",Master!$I$32)</f>
        <v/>
      </c>
    </row>
    <row r="29" spans="1:8" ht="21.95" customHeight="1" x14ac:dyDescent="0.25">
      <c r="A29" s="12">
        <v>25</v>
      </c>
      <c r="B29" s="6"/>
      <c r="C29" s="13" t="str">
        <f>IFERROR(IF(B29="","",INDEX(Master!$F$5:$F$200,MATCH(B29,Master!$E$5:$E$200,0))),"")</f>
        <v/>
      </c>
      <c r="D29" s="7" t="str">
        <f>IFERROR(IF(B29="","",INDEX(Master!$G$5:$G$200,MATCH(B29,Master!$E$5:$E$200,0))),"")</f>
        <v/>
      </c>
      <c r="F29" s="8" t="str">
        <f>IF(Master!$B$33="","",Master!$B$33)</f>
        <v/>
      </c>
      <c r="G29" s="8" t="str">
        <f>IF(Master!$E$33="","",Master!$E$33)</f>
        <v>MOOLI</v>
      </c>
      <c r="H29" s="8" t="str">
        <f>IF(Master!$I$33="","",Master!$I$33)</f>
        <v/>
      </c>
    </row>
    <row r="30" spans="1:8" ht="21.95" customHeight="1" x14ac:dyDescent="0.25">
      <c r="A30" s="12">
        <v>26</v>
      </c>
      <c r="B30" s="6"/>
      <c r="C30" s="13" t="str">
        <f>IFERROR(IF(B30="","",INDEX(Master!$F$5:$F$200,MATCH(B30,Master!$E$5:$E$200,0))),"")</f>
        <v/>
      </c>
      <c r="D30" s="7" t="str">
        <f>IFERROR(IF(B30="","",INDEX(Master!$G$5:$G$200,MATCH(B30,Master!$E$5:$E$200,0))),"")</f>
        <v/>
      </c>
      <c r="F30" s="8" t="str">
        <f>IF(Master!$B$34="","",Master!$B$34)</f>
        <v/>
      </c>
      <c r="G30" s="8" t="str">
        <f>IF(Master!$E$34="","",Master!$E$34)</f>
        <v>BEETROOT</v>
      </c>
      <c r="H30" s="8" t="str">
        <f>IF(Master!$I$34="","",Master!$I$34)</f>
        <v/>
      </c>
    </row>
    <row r="31" spans="1:8" ht="21.95" customHeight="1" x14ac:dyDescent="0.25">
      <c r="A31" s="12">
        <v>27</v>
      </c>
      <c r="B31" s="6"/>
      <c r="C31" s="13" t="str">
        <f>IFERROR(IF(B31="","",INDEX(Master!$F$5:$F$200,MATCH(B31,Master!$E$5:$E$200,0))),"")</f>
        <v/>
      </c>
      <c r="D31" s="7" t="str">
        <f>IFERROR(IF(B31="","",INDEX(Master!$G$5:$G$200,MATCH(B31,Master!$E$5:$E$200,0))),"")</f>
        <v/>
      </c>
      <c r="F31" s="8" t="str">
        <f>IF(Master!$B$35="","",Master!$B$35)</f>
        <v/>
      </c>
      <c r="G31" s="8" t="str">
        <f>IF(Master!$E$35="","",Master!$E$35)</f>
        <v>CORN (MAKKAI)</v>
      </c>
      <c r="H31" s="8" t="str">
        <f>IF(Master!$I$35="","",Master!$I$35)</f>
        <v/>
      </c>
    </row>
    <row r="32" spans="1:8" ht="21.95" customHeight="1" x14ac:dyDescent="0.25">
      <c r="A32" s="12">
        <v>28</v>
      </c>
      <c r="B32" s="6"/>
      <c r="C32" s="13" t="str">
        <f>IFERROR(IF(B32="","",INDEX(Master!$F$5:$F$200,MATCH(B32,Master!$E$5:$E$200,0))),"")</f>
        <v/>
      </c>
      <c r="D32" s="7" t="str">
        <f>IFERROR(IF(B32="","",INDEX(Master!$G$5:$G$200,MATCH(B32,Master!$E$5:$E$200,0))),"")</f>
        <v/>
      </c>
      <c r="F32" s="8" t="str">
        <f>IF(Master!$B$36="","",Master!$B$36)</f>
        <v/>
      </c>
      <c r="G32" s="8" t="str">
        <f>IF(Master!$E$36="","",Master!$E$36)</f>
        <v>METHI</v>
      </c>
      <c r="H32" s="8" t="str">
        <f>IF(Master!$I$36="","",Master!$I$36)</f>
        <v/>
      </c>
    </row>
    <row r="33" spans="1:8" ht="21.95" customHeight="1" x14ac:dyDescent="0.25">
      <c r="A33" s="12">
        <v>29</v>
      </c>
      <c r="B33" s="6"/>
      <c r="C33" s="13" t="str">
        <f>IFERROR(IF(B33="","",INDEX(Master!$F$5:$F$200,MATCH(B33,Master!$E$5:$E$200,0))),"")</f>
        <v/>
      </c>
      <c r="D33" s="7" t="str">
        <f>IFERROR(IF(B33="","",INDEX(Master!$G$5:$G$200,MATCH(B33,Master!$E$5:$E$200,0))),"")</f>
        <v/>
      </c>
      <c r="F33" s="8" t="str">
        <f>IF(Master!$B$37="","",Master!$B$37)</f>
        <v/>
      </c>
      <c r="G33" s="8" t="str">
        <f>IF(Master!$E$37="","",Master!$E$37)</f>
        <v>PALAK</v>
      </c>
      <c r="H33" s="8" t="str">
        <f>IF(Master!$I$37="","",Master!$I$37)</f>
        <v/>
      </c>
    </row>
    <row r="34" spans="1:8" ht="21.95" customHeight="1" x14ac:dyDescent="0.25">
      <c r="A34" s="12">
        <v>30</v>
      </c>
      <c r="B34" s="6"/>
      <c r="C34" s="13" t="str">
        <f>IFERROR(IF(B34="","",INDEX(Master!$F$5:$F$200,MATCH(B34,Master!$E$5:$E$200,0))),"")</f>
        <v/>
      </c>
      <c r="D34" s="7" t="str">
        <f>IFERROR(IF(B34="","",INDEX(Master!$G$5:$G$200,MATCH(B34,Master!$E$5:$E$200,0))),"")</f>
        <v/>
      </c>
      <c r="F34" s="8" t="str">
        <f>IF(Master!$B$38="","",Master!$B$38)</f>
        <v/>
      </c>
      <c r="G34" s="8" t="str">
        <f>IF(Master!$E$38="","",Master!$E$38)</f>
        <v>PUDINA</v>
      </c>
      <c r="H34" s="8" t="str">
        <f>IF(Master!$I$38="","",Master!$I$38)</f>
        <v/>
      </c>
    </row>
    <row r="35" spans="1:8" x14ac:dyDescent="0.25">
      <c r="F35" s="8" t="str">
        <f>IF(Master!$B$39="","",Master!$B$39)</f>
        <v/>
      </c>
      <c r="G35" s="8" t="str">
        <f>IF(Master!$E$39="","",Master!$E$39)</f>
        <v>KADI PATTA</v>
      </c>
      <c r="H35" s="8" t="str">
        <f>IF(Master!$I$39="","",Master!$I$39)</f>
        <v/>
      </c>
    </row>
    <row r="36" spans="1:8" ht="32.1" customHeight="1" x14ac:dyDescent="0.25">
      <c r="A36" s="17" t="s">
        <v>150</v>
      </c>
      <c r="B36" s="16"/>
      <c r="C36" s="16"/>
      <c r="D36" s="16"/>
      <c r="F36" s="8" t="str">
        <f>IF(Master!$B$40="","",Master!$B$40)</f>
        <v/>
      </c>
      <c r="G36" s="8" t="str">
        <f>IF(Master!$E$40="","",Master!$E$40)</f>
        <v>GREEN ONION</v>
      </c>
      <c r="H36" s="8" t="str">
        <f>IF(Master!$I$40="","",Master!$I$40)</f>
        <v/>
      </c>
    </row>
    <row r="37" spans="1:8" x14ac:dyDescent="0.25">
      <c r="F37" s="8" t="str">
        <f>IF(Master!$B$41="","",Master!$B$41)</f>
        <v/>
      </c>
      <c r="G37" s="8" t="str">
        <f>IF(Master!$E$41="","",Master!$E$41)</f>
        <v>KACCHA BANANA</v>
      </c>
    </row>
    <row r="38" spans="1:8" x14ac:dyDescent="0.25">
      <c r="F38" s="8" t="str">
        <f>IF(Master!$B$42="","",Master!$B$42)</f>
        <v/>
      </c>
      <c r="G38" s="8" t="str">
        <f>IF(Master!$E$42="","",Master!$E$42)</f>
        <v>RED SIMLA</v>
      </c>
    </row>
    <row r="39" spans="1:8" x14ac:dyDescent="0.25">
      <c r="F39" s="8" t="str">
        <f>IF(Master!$B$43="","",Master!$B$43)</f>
        <v/>
      </c>
      <c r="G39" s="8" t="str">
        <f>IF(Master!$E$43="","",Master!$E$43)</f>
        <v>YELLOW SIMLA</v>
      </c>
    </row>
    <row r="40" spans="1:8" x14ac:dyDescent="0.25">
      <c r="F40" s="8" t="str">
        <f>IF(Master!$B$44="","",Master!$B$44)</f>
        <v/>
      </c>
      <c r="G40" s="8" t="str">
        <f>IF(Master!$E$44="","",Master!$E$44)</f>
        <v>BROKALI</v>
      </c>
    </row>
    <row r="41" spans="1:8" x14ac:dyDescent="0.25">
      <c r="F41" s="8" t="str">
        <f>IF(Master!$B$45="","",Master!$B$45)</f>
        <v/>
      </c>
      <c r="G41" s="8" t="str">
        <f>IF(Master!$E$45="","",Master!$E$45)</f>
        <v>GREEN TEA</v>
      </c>
    </row>
    <row r="42" spans="1:8" x14ac:dyDescent="0.25">
      <c r="F42" s="8" t="str">
        <f>IF(Master!$B$46="","",Master!$B$46)</f>
        <v/>
      </c>
      <c r="G42" s="8" t="str">
        <f>IF(Master!$E$46="","",Master!$E$46)</f>
        <v>BABY CORN</v>
      </c>
    </row>
    <row r="43" spans="1:8" x14ac:dyDescent="0.25">
      <c r="F43" s="8" t="str">
        <f>IF(Master!$B$47="","",Master!$B$47)</f>
        <v/>
      </c>
      <c r="G43" s="8" t="str">
        <f>IF(Master!$E$47="","",Master!$E$47)</f>
        <v>LETTUCE</v>
      </c>
    </row>
    <row r="44" spans="1:8" x14ac:dyDescent="0.25">
      <c r="F44" s="8" t="str">
        <f>IF(Master!$B$48="","",Master!$B$48)</f>
        <v/>
      </c>
      <c r="G44" s="8" t="str">
        <f>IF(Master!$E$48="","",Master!$E$48)</f>
        <v>CELERY</v>
      </c>
    </row>
    <row r="45" spans="1:8" x14ac:dyDescent="0.25">
      <c r="F45" s="8" t="str">
        <f>IF(Master!$B$49="","",Master!$B$49)</f>
        <v/>
      </c>
      <c r="G45" s="8" t="str">
        <f>IF(Master!$E$49="","",Master!$E$49)</f>
        <v>PARSLEY</v>
      </c>
    </row>
    <row r="46" spans="1:8" x14ac:dyDescent="0.25">
      <c r="F46" s="8" t="str">
        <f>IF(Master!$B$50="","",Master!$B$50)</f>
        <v/>
      </c>
      <c r="G46" s="8" t="str">
        <f>IF(Master!$E$50="","",Master!$E$50)</f>
        <v>BASIL</v>
      </c>
    </row>
    <row r="47" spans="1:8" x14ac:dyDescent="0.25">
      <c r="F47" s="8" t="str">
        <f>IF(Master!$B$51="","",Master!$B$51)</f>
        <v/>
      </c>
      <c r="G47" s="8" t="str">
        <f>IF(Master!$E$51="","",Master!$E$51)</f>
        <v>FROZEN GARLIC</v>
      </c>
    </row>
    <row r="48" spans="1:8" x14ac:dyDescent="0.25">
      <c r="F48" s="8" t="str">
        <f>IF(Master!$B$52="","",Master!$B$52)</f>
        <v/>
      </c>
      <c r="G48" s="8" t="str">
        <f>IF(Master!$E$52="","",Master!$E$52)</f>
        <v>FROZEN MATAR</v>
      </c>
    </row>
    <row r="49" spans="6:7" x14ac:dyDescent="0.25">
      <c r="F49" s="8" t="str">
        <f>IF(Master!$B$53="","",Master!$B$53)</f>
        <v/>
      </c>
      <c r="G49" s="8" t="str">
        <f>IF(Master!$E$53="","",Master!$E$53)</f>
        <v>FROZEN CORN</v>
      </c>
    </row>
    <row r="50" spans="6:7" x14ac:dyDescent="0.25">
      <c r="F50" s="8" t="str">
        <f>IF(Master!$B$54="","",Master!$B$54)</f>
        <v/>
      </c>
      <c r="G50" s="8" t="str">
        <f>IF(Master!$E$54="","",Master!$E$54)</f>
        <v>JHUGUI</v>
      </c>
    </row>
    <row r="51" spans="6:7" x14ac:dyDescent="0.25">
      <c r="F51" s="8" t="str">
        <f>IF(Master!$B$55="","",Master!$B$55)</f>
        <v/>
      </c>
      <c r="G51" s="8" t="str">
        <f>IF(Master!$E$55="","",Master!$E$55)</f>
        <v>APPLE</v>
      </c>
    </row>
    <row r="52" spans="6:7" x14ac:dyDescent="0.25">
      <c r="F52" s="8" t="str">
        <f>IF(Master!$B$56="","",Master!$B$56)</f>
        <v/>
      </c>
      <c r="G52" s="8" t="str">
        <f>IF(Master!$E$56="","",Master!$E$56)</f>
        <v>ORANGE</v>
      </c>
    </row>
    <row r="53" spans="6:7" x14ac:dyDescent="0.25">
      <c r="F53" s="8" t="str">
        <f>IF(Master!$B$57="","",Master!$B$57)</f>
        <v/>
      </c>
      <c r="G53" s="8" t="str">
        <f>IF(Master!$E$57="","",Master!$E$57)</f>
        <v>GUAVA</v>
      </c>
    </row>
    <row r="54" spans="6:7" x14ac:dyDescent="0.25">
      <c r="F54" s="8" t="str">
        <f>IF(Master!$B$58="","",Master!$B$58)</f>
        <v/>
      </c>
      <c r="G54" s="8" t="str">
        <f>IF(Master!$E$58="","",Master!$E$58)</f>
        <v>CHIKU</v>
      </c>
    </row>
    <row r="55" spans="6:7" x14ac:dyDescent="0.25">
      <c r="F55" s="8" t="str">
        <f>IF(Master!$B$59="","",Master!$B$59)</f>
        <v/>
      </c>
      <c r="G55" s="8" t="str">
        <f>IF(Master!$E$59="","",Master!$E$59)</f>
        <v>BANANA</v>
      </c>
    </row>
    <row r="56" spans="6:7" x14ac:dyDescent="0.25">
      <c r="F56" s="8" t="str">
        <f>IF(Master!$B$60="","",Master!$B$60)</f>
        <v/>
      </c>
      <c r="G56" s="8" t="str">
        <f>IF(Master!$E$60="","",Master!$E$60)</f>
        <v>PLUMS</v>
      </c>
    </row>
    <row r="57" spans="6:7" x14ac:dyDescent="0.25">
      <c r="F57" s="8" t="str">
        <f>IF(Master!$B$61="","",Master!$B$61)</f>
        <v/>
      </c>
      <c r="G57" s="8" t="str">
        <f>IF(Master!$E$61="","",Master!$E$61)</f>
        <v>POME GRANATE</v>
      </c>
    </row>
    <row r="58" spans="6:7" x14ac:dyDescent="0.25">
      <c r="F58" s="8" t="str">
        <f>IF(Master!$B$62="","",Master!$B$62)</f>
        <v/>
      </c>
      <c r="G58" s="8" t="str">
        <f>IF(Master!$E$62="","",Master!$E$62)</f>
        <v>GRAPS</v>
      </c>
    </row>
    <row r="59" spans="6:7" x14ac:dyDescent="0.25">
      <c r="F59" s="8" t="str">
        <f>IF(Master!$B$63="","",Master!$B$63)</f>
        <v/>
      </c>
      <c r="G59" s="8" t="str">
        <f>IF(Master!$E$63="","",Master!$E$63)</f>
        <v>WATER MELON</v>
      </c>
    </row>
    <row r="60" spans="6:7" x14ac:dyDescent="0.25">
      <c r="F60" s="8" t="str">
        <f>IF(Master!$B$64="","",Master!$B$64)</f>
        <v/>
      </c>
      <c r="G60" s="8" t="str">
        <f>IF(Master!$E$64="","",Master!$E$64)</f>
        <v>PAPAYA</v>
      </c>
    </row>
    <row r="61" spans="6:7" x14ac:dyDescent="0.25">
      <c r="F61" s="8" t="str">
        <f>IF(Master!$B$65="","",Master!$B$65)</f>
        <v/>
      </c>
      <c r="G61" s="8" t="str">
        <f>IF(Master!$E$65="","",Master!$E$65)</f>
        <v>MOSAMBI</v>
      </c>
    </row>
    <row r="62" spans="6:7" x14ac:dyDescent="0.25">
      <c r="F62" s="8" t="str">
        <f>IF(Master!$B$66="","",Master!$B$66)</f>
        <v/>
      </c>
      <c r="G62" s="8" t="str">
        <f>IF(Master!$E$66="","",Master!$E$66)</f>
        <v>MUSK MELON</v>
      </c>
    </row>
    <row r="63" spans="6:7" x14ac:dyDescent="0.25">
      <c r="F63" s="8" t="str">
        <f>IF(Master!$B$67="","",Master!$B$67)</f>
        <v/>
      </c>
      <c r="G63" s="8" t="str">
        <f>IF(Master!$E$67="","",Master!$E$67)</f>
        <v>MANGO / STRAWBERRY</v>
      </c>
    </row>
    <row r="64" spans="6:7" x14ac:dyDescent="0.25">
      <c r="F64" s="8" t="str">
        <f>IF(Master!$B$68="","",Master!$B$68)</f>
        <v/>
      </c>
      <c r="G64" s="8" t="str">
        <f>IF(Master!$E$68="","",Master!$E$68)</f>
        <v>PINEAPPLE</v>
      </c>
    </row>
    <row r="65" spans="6:7" x14ac:dyDescent="0.25">
      <c r="F65" s="8" t="str">
        <f>IF(Master!$B$69="","",Master!$B$69)</f>
        <v/>
      </c>
      <c r="G65" s="8" t="str">
        <f>IF(Master!$E$69="","",Master!$E$69)</f>
        <v>NARIYAL PANI</v>
      </c>
    </row>
    <row r="66" spans="6:7" x14ac:dyDescent="0.25">
      <c r="F66" s="8" t="str">
        <f>IF(Master!$B$70="","",Master!$B$70)</f>
        <v/>
      </c>
      <c r="G66" s="8" t="str">
        <f>IF(Master!$E$70="","",Master!$E$70)</f>
        <v>PANIPURI</v>
      </c>
    </row>
    <row r="67" spans="6:7" x14ac:dyDescent="0.25">
      <c r="F67" s="8" t="str">
        <f>IF(Master!$B$71="","",Master!$B$71)</f>
        <v/>
      </c>
      <c r="G67" s="8" t="str">
        <f>IF(Master!$E$71="","",Master!$E$71)</f>
        <v>COLD DRINK</v>
      </c>
    </row>
    <row r="68" spans="6:7" x14ac:dyDescent="0.25">
      <c r="F68" s="8" t="str">
        <f>IF(Master!$B$72="","",Master!$B$72)</f>
        <v/>
      </c>
      <c r="G68" s="8" t="str">
        <f>IF(Master!$E$72="","",Master!$E$72)</f>
        <v>BUTTER</v>
      </c>
    </row>
    <row r="69" spans="6:7" x14ac:dyDescent="0.25">
      <c r="F69" s="8" t="str">
        <f>IF(Master!$B$73="","",Master!$B$73)</f>
        <v/>
      </c>
      <c r="G69" s="8" t="str">
        <f>IF(Master!$E$73="","",Master!$E$73)</f>
        <v>CHEESE</v>
      </c>
    </row>
    <row r="70" spans="6:7" x14ac:dyDescent="0.25">
      <c r="F70" s="8" t="str">
        <f>IF(Master!$B$74="","",Master!$B$74)</f>
        <v/>
      </c>
      <c r="G70" s="8" t="str">
        <f>IF(Master!$E$74="","",Master!$E$74)</f>
        <v>PANEER</v>
      </c>
    </row>
    <row r="71" spans="6:7" x14ac:dyDescent="0.25">
      <c r="F71" s="8" t="str">
        <f>IF(Master!$B$75="","",Master!$B$75)</f>
        <v/>
      </c>
      <c r="G71" s="8" t="str">
        <f>IF(Master!$E$75="","",Master!$E$75)</f>
        <v>BRADE</v>
      </c>
    </row>
    <row r="72" spans="6:7" x14ac:dyDescent="0.25">
      <c r="F72" s="8" t="str">
        <f>IF(Master!$B$76="","",Master!$B$76)</f>
        <v/>
      </c>
      <c r="G72" s="8" t="str">
        <f>IF(Master!$E$76="","",Master!$E$76)</f>
        <v>PAV BHAJI / DABELI PAV</v>
      </c>
    </row>
    <row r="73" spans="6:7" x14ac:dyDescent="0.25">
      <c r="F73" s="8" t="str">
        <f>IF(Master!$B$77="","",Master!$B$77)</f>
        <v/>
      </c>
      <c r="G73" s="8" t="str">
        <f>IF(Master!$E$77="","",Master!$E$77)</f>
        <v/>
      </c>
    </row>
    <row r="74" spans="6:7" x14ac:dyDescent="0.25">
      <c r="F74" s="8" t="str">
        <f>IF(Master!$B$78="","",Master!$B$78)</f>
        <v/>
      </c>
      <c r="G74" s="8" t="str">
        <f>IF(Master!$E$78="","",Master!$E$78)</f>
        <v/>
      </c>
    </row>
    <row r="75" spans="6:7" x14ac:dyDescent="0.25">
      <c r="F75" s="8" t="str">
        <f>IF(Master!$B$79="","",Master!$B$79)</f>
        <v/>
      </c>
      <c r="G75" s="8" t="str">
        <f>IF(Master!$E$79="","",Master!$E$79)</f>
        <v/>
      </c>
    </row>
    <row r="76" spans="6:7" x14ac:dyDescent="0.25">
      <c r="F76" s="8" t="str">
        <f>IF(Master!$B$80="","",Master!$B$80)</f>
        <v/>
      </c>
      <c r="G76" s="8" t="str">
        <f>IF(Master!$E$80="","",Master!$E$80)</f>
        <v/>
      </c>
    </row>
    <row r="77" spans="6:7" x14ac:dyDescent="0.25">
      <c r="F77" s="8" t="str">
        <f>IF(Master!$B$81="","",Master!$B$81)</f>
        <v/>
      </c>
      <c r="G77" s="8" t="str">
        <f>IF(Master!$E$81="","",Master!$E$81)</f>
        <v/>
      </c>
    </row>
    <row r="78" spans="6:7" x14ac:dyDescent="0.25">
      <c r="F78" s="8" t="str">
        <f>IF(Master!$B$82="","",Master!$B$82)</f>
        <v/>
      </c>
      <c r="G78" s="8" t="str">
        <f>IF(Master!$E$82="","",Master!$E$82)</f>
        <v/>
      </c>
    </row>
    <row r="79" spans="6:7" x14ac:dyDescent="0.25">
      <c r="F79" s="8" t="str">
        <f>IF(Master!$B$83="","",Master!$B$83)</f>
        <v/>
      </c>
      <c r="G79" s="8" t="str">
        <f>IF(Master!$E$83="","",Master!$E$83)</f>
        <v/>
      </c>
    </row>
    <row r="80" spans="6:7" x14ac:dyDescent="0.25">
      <c r="F80" s="8" t="str">
        <f>IF(Master!$B$84="","",Master!$B$84)</f>
        <v/>
      </c>
      <c r="G80" s="8" t="str">
        <f>IF(Master!$E$84="","",Master!$E$84)</f>
        <v/>
      </c>
    </row>
    <row r="81" spans="6:7" x14ac:dyDescent="0.25">
      <c r="F81" s="8" t="str">
        <f>IF(Master!$B$85="","",Master!$B$85)</f>
        <v/>
      </c>
      <c r="G81" s="8" t="str">
        <f>IF(Master!$E$85="","",Master!$E$85)</f>
        <v/>
      </c>
    </row>
    <row r="82" spans="6:7" x14ac:dyDescent="0.25">
      <c r="F82" s="8" t="str">
        <f>IF(Master!$B$86="","",Master!$B$86)</f>
        <v/>
      </c>
      <c r="G82" s="8" t="str">
        <f>IF(Master!$E$86="","",Master!$E$86)</f>
        <v/>
      </c>
    </row>
    <row r="83" spans="6:7" x14ac:dyDescent="0.25">
      <c r="F83" s="8" t="str">
        <f>IF(Master!$B$87="","",Master!$B$87)</f>
        <v/>
      </c>
      <c r="G83" s="8" t="str">
        <f>IF(Master!$E$87="","",Master!$E$87)</f>
        <v/>
      </c>
    </row>
    <row r="84" spans="6:7" x14ac:dyDescent="0.25">
      <c r="F84" s="8" t="str">
        <f>IF(Master!$B$88="","",Master!$B$88)</f>
        <v/>
      </c>
      <c r="G84" s="8" t="str">
        <f>IF(Master!$E$88="","",Master!$E$88)</f>
        <v/>
      </c>
    </row>
    <row r="85" spans="6:7" x14ac:dyDescent="0.25">
      <c r="F85" s="8" t="str">
        <f>IF(Master!$B$89="","",Master!$B$89)</f>
        <v/>
      </c>
      <c r="G85" s="8" t="str">
        <f>IF(Master!$E$89="","",Master!$E$89)</f>
        <v/>
      </c>
    </row>
    <row r="86" spans="6:7" x14ac:dyDescent="0.25">
      <c r="F86" s="8" t="str">
        <f>IF(Master!$B$90="","",Master!$B$90)</f>
        <v/>
      </c>
      <c r="G86" s="8" t="str">
        <f>IF(Master!$E$90="","",Master!$E$90)</f>
        <v/>
      </c>
    </row>
    <row r="87" spans="6:7" x14ac:dyDescent="0.25">
      <c r="F87" s="8" t="str">
        <f>IF(Master!$B$91="","",Master!$B$91)</f>
        <v/>
      </c>
      <c r="G87" s="8" t="str">
        <f>IF(Master!$E$91="","",Master!$E$91)</f>
        <v/>
      </c>
    </row>
    <row r="88" spans="6:7" x14ac:dyDescent="0.25">
      <c r="F88" s="8" t="str">
        <f>IF(Master!$B$92="","",Master!$B$92)</f>
        <v/>
      </c>
      <c r="G88" s="8" t="str">
        <f>IF(Master!$E$92="","",Master!$E$92)</f>
        <v/>
      </c>
    </row>
    <row r="89" spans="6:7" x14ac:dyDescent="0.25">
      <c r="F89" s="8" t="str">
        <f>IF(Master!$B$93="","",Master!$B$93)</f>
        <v/>
      </c>
      <c r="G89" s="8" t="str">
        <f>IF(Master!$E$93="","",Master!$E$93)</f>
        <v/>
      </c>
    </row>
    <row r="90" spans="6:7" x14ac:dyDescent="0.25">
      <c r="F90" s="8" t="str">
        <f>IF(Master!$B$94="","",Master!$B$94)</f>
        <v/>
      </c>
      <c r="G90" s="8" t="str">
        <f>IF(Master!$E$94="","",Master!$E$94)</f>
        <v/>
      </c>
    </row>
    <row r="91" spans="6:7" x14ac:dyDescent="0.25">
      <c r="F91" s="8" t="str">
        <f>IF(Master!$B$95="","",Master!$B$95)</f>
        <v/>
      </c>
      <c r="G91" s="8" t="str">
        <f>IF(Master!$E$95="","",Master!$E$95)</f>
        <v/>
      </c>
    </row>
    <row r="92" spans="6:7" x14ac:dyDescent="0.25">
      <c r="F92" s="8" t="str">
        <f>IF(Master!$B$96="","",Master!$B$96)</f>
        <v/>
      </c>
      <c r="G92" s="8" t="str">
        <f>IF(Master!$E$96="","",Master!$E$96)</f>
        <v/>
      </c>
    </row>
    <row r="93" spans="6:7" x14ac:dyDescent="0.25">
      <c r="F93" s="8" t="str">
        <f>IF(Master!$B$97="","",Master!$B$97)</f>
        <v/>
      </c>
      <c r="G93" s="8" t="str">
        <f>IF(Master!$E$97="","",Master!$E$97)</f>
        <v/>
      </c>
    </row>
    <row r="94" spans="6:7" x14ac:dyDescent="0.25">
      <c r="F94" s="8" t="str">
        <f>IF(Master!$B$98="","",Master!$B$98)</f>
        <v/>
      </c>
      <c r="G94" s="8" t="str">
        <f>IF(Master!$E$98="","",Master!$E$98)</f>
        <v/>
      </c>
    </row>
    <row r="95" spans="6:7" x14ac:dyDescent="0.25">
      <c r="F95" s="8" t="str">
        <f>IF(Master!$B$99="","",Master!$B$99)</f>
        <v/>
      </c>
      <c r="G95" s="8" t="str">
        <f>IF(Master!$E$99="","",Master!$E$99)</f>
        <v/>
      </c>
    </row>
    <row r="96" spans="6:7" x14ac:dyDescent="0.25">
      <c r="F96" s="8" t="str">
        <f>IF(Master!$B$100="","",Master!$B$100)</f>
        <v/>
      </c>
      <c r="G96" s="8" t="str">
        <f>IF(Master!$E$100="","",Master!$E$100)</f>
        <v/>
      </c>
    </row>
    <row r="97" spans="7:7" x14ac:dyDescent="0.25">
      <c r="G97" s="8" t="str">
        <f>IF(Master!$E$101="","",Master!$E$101)</f>
        <v/>
      </c>
    </row>
    <row r="98" spans="7:7" x14ac:dyDescent="0.25">
      <c r="G98" s="8" t="str">
        <f>IF(Master!$E$102="","",Master!$E$102)</f>
        <v/>
      </c>
    </row>
    <row r="99" spans="7:7" x14ac:dyDescent="0.25">
      <c r="G99" s="8" t="str">
        <f>IF(Master!$E$103="","",Master!$E$103)</f>
        <v/>
      </c>
    </row>
    <row r="100" spans="7:7" x14ac:dyDescent="0.25">
      <c r="G100" s="8" t="str">
        <f>IF(Master!$E$104="","",Master!$E$104)</f>
        <v/>
      </c>
    </row>
    <row r="101" spans="7:7" x14ac:dyDescent="0.25">
      <c r="G101" s="8" t="str">
        <f>IF(Master!$E$105="","",Master!$E$105)</f>
        <v/>
      </c>
    </row>
    <row r="102" spans="7:7" x14ac:dyDescent="0.25">
      <c r="G102" s="8" t="str">
        <f>IF(Master!$E$106="","",Master!$E$106)</f>
        <v/>
      </c>
    </row>
    <row r="103" spans="7:7" x14ac:dyDescent="0.25">
      <c r="G103" s="8" t="str">
        <f>IF(Master!$E$107="","",Master!$E$107)</f>
        <v/>
      </c>
    </row>
    <row r="104" spans="7:7" x14ac:dyDescent="0.25">
      <c r="G104" s="8" t="str">
        <f>IF(Master!$E$108="","",Master!$E$108)</f>
        <v/>
      </c>
    </row>
    <row r="105" spans="7:7" x14ac:dyDescent="0.25">
      <c r="G105" s="8" t="str">
        <f>IF(Master!$E$109="","",Master!$E$109)</f>
        <v/>
      </c>
    </row>
    <row r="106" spans="7:7" x14ac:dyDescent="0.25">
      <c r="G106" s="8" t="str">
        <f>IF(Master!$E$110="","",Master!$E$110)</f>
        <v/>
      </c>
    </row>
    <row r="107" spans="7:7" x14ac:dyDescent="0.25">
      <c r="G107" s="8" t="str">
        <f>IF(Master!$E$111="","",Master!$E$111)</f>
        <v/>
      </c>
    </row>
    <row r="108" spans="7:7" x14ac:dyDescent="0.25">
      <c r="G108" s="8" t="str">
        <f>IF(Master!$E$112="","",Master!$E$112)</f>
        <v/>
      </c>
    </row>
    <row r="109" spans="7:7" x14ac:dyDescent="0.25">
      <c r="G109" s="8" t="str">
        <f>IF(Master!$E$113="","",Master!$E$113)</f>
        <v/>
      </c>
    </row>
    <row r="110" spans="7:7" x14ac:dyDescent="0.25">
      <c r="G110" s="8" t="str">
        <f>IF(Master!$E$114="","",Master!$E$114)</f>
        <v/>
      </c>
    </row>
    <row r="111" spans="7:7" x14ac:dyDescent="0.25">
      <c r="G111" s="8" t="str">
        <f>IF(Master!$E$115="","",Master!$E$115)</f>
        <v/>
      </c>
    </row>
    <row r="112" spans="7:7" x14ac:dyDescent="0.25">
      <c r="G112" s="8" t="str">
        <f>IF(Master!$E$116="","",Master!$E$116)</f>
        <v/>
      </c>
    </row>
    <row r="113" spans="7:7" x14ac:dyDescent="0.25">
      <c r="G113" s="8" t="str">
        <f>IF(Master!$E$117="","",Master!$E$117)</f>
        <v/>
      </c>
    </row>
    <row r="114" spans="7:7" x14ac:dyDescent="0.25">
      <c r="G114" s="8" t="str">
        <f>IF(Master!$E$118="","",Master!$E$118)</f>
        <v/>
      </c>
    </row>
    <row r="115" spans="7:7" x14ac:dyDescent="0.25">
      <c r="G115" s="8" t="str">
        <f>IF(Master!$E$119="","",Master!$E$119)</f>
        <v/>
      </c>
    </row>
    <row r="116" spans="7:7" x14ac:dyDescent="0.25">
      <c r="G116" s="8" t="str">
        <f>IF(Master!$E$120="","",Master!$E$120)</f>
        <v/>
      </c>
    </row>
    <row r="117" spans="7:7" x14ac:dyDescent="0.25">
      <c r="G117" s="8" t="str">
        <f>IF(Master!$E$121="","",Master!$E$121)</f>
        <v/>
      </c>
    </row>
    <row r="118" spans="7:7" x14ac:dyDescent="0.25">
      <c r="G118" s="8" t="str">
        <f>IF(Master!$E$122="","",Master!$E$122)</f>
        <v/>
      </c>
    </row>
    <row r="119" spans="7:7" x14ac:dyDescent="0.25">
      <c r="G119" s="8" t="str">
        <f>IF(Master!$E$123="","",Master!$E$123)</f>
        <v/>
      </c>
    </row>
    <row r="120" spans="7:7" x14ac:dyDescent="0.25">
      <c r="G120" s="8" t="str">
        <f>IF(Master!$E$124="","",Master!$E$124)</f>
        <v/>
      </c>
    </row>
    <row r="121" spans="7:7" x14ac:dyDescent="0.25">
      <c r="G121" s="8" t="str">
        <f>IF(Master!$E$125="","",Master!$E$125)</f>
        <v/>
      </c>
    </row>
    <row r="122" spans="7:7" x14ac:dyDescent="0.25">
      <c r="G122" s="8" t="str">
        <f>IF(Master!$E$126="","",Master!$E$126)</f>
        <v/>
      </c>
    </row>
    <row r="123" spans="7:7" x14ac:dyDescent="0.25">
      <c r="G123" s="8" t="str">
        <f>IF(Master!$E$127="","",Master!$E$127)</f>
        <v/>
      </c>
    </row>
    <row r="124" spans="7:7" x14ac:dyDescent="0.25">
      <c r="G124" s="8" t="str">
        <f>IF(Master!$E$128="","",Master!$E$128)</f>
        <v/>
      </c>
    </row>
    <row r="125" spans="7:7" x14ac:dyDescent="0.25">
      <c r="G125" s="8" t="str">
        <f>IF(Master!$E$129="","",Master!$E$129)</f>
        <v/>
      </c>
    </row>
    <row r="126" spans="7:7" x14ac:dyDescent="0.25">
      <c r="G126" s="8" t="str">
        <f>IF(Master!$E$130="","",Master!$E$130)</f>
        <v/>
      </c>
    </row>
    <row r="127" spans="7:7" x14ac:dyDescent="0.25">
      <c r="G127" s="8" t="str">
        <f>IF(Master!$E$131="","",Master!$E$131)</f>
        <v/>
      </c>
    </row>
    <row r="128" spans="7:7" x14ac:dyDescent="0.25">
      <c r="G128" s="8" t="str">
        <f>IF(Master!$E$132="","",Master!$E$132)</f>
        <v/>
      </c>
    </row>
    <row r="129" spans="7:7" x14ac:dyDescent="0.25">
      <c r="G129" s="8" t="str">
        <f>IF(Master!$E$133="","",Master!$E$133)</f>
        <v/>
      </c>
    </row>
    <row r="130" spans="7:7" x14ac:dyDescent="0.25">
      <c r="G130" s="8" t="str">
        <f>IF(Master!$E$134="","",Master!$E$134)</f>
        <v/>
      </c>
    </row>
    <row r="131" spans="7:7" x14ac:dyDescent="0.25">
      <c r="G131" s="8" t="str">
        <f>IF(Master!$E$135="","",Master!$E$135)</f>
        <v/>
      </c>
    </row>
    <row r="132" spans="7:7" x14ac:dyDescent="0.25">
      <c r="G132" s="8" t="str">
        <f>IF(Master!$E$136="","",Master!$E$136)</f>
        <v/>
      </c>
    </row>
    <row r="133" spans="7:7" x14ac:dyDescent="0.25">
      <c r="G133" s="8" t="str">
        <f>IF(Master!$E$137="","",Master!$E$137)</f>
        <v/>
      </c>
    </row>
    <row r="134" spans="7:7" x14ac:dyDescent="0.25">
      <c r="G134" s="8" t="str">
        <f>IF(Master!$E$138="","",Master!$E$138)</f>
        <v/>
      </c>
    </row>
    <row r="135" spans="7:7" x14ac:dyDescent="0.25">
      <c r="G135" s="8" t="str">
        <f>IF(Master!$E$139="","",Master!$E$139)</f>
        <v/>
      </c>
    </row>
    <row r="136" spans="7:7" x14ac:dyDescent="0.25">
      <c r="G136" s="8" t="str">
        <f>IF(Master!$E$140="","",Master!$E$140)</f>
        <v/>
      </c>
    </row>
    <row r="137" spans="7:7" x14ac:dyDescent="0.25">
      <c r="G137" s="8" t="str">
        <f>IF(Master!$E$141="","",Master!$E$141)</f>
        <v/>
      </c>
    </row>
    <row r="138" spans="7:7" x14ac:dyDescent="0.25">
      <c r="G138" s="8" t="str">
        <f>IF(Master!$E$142="","",Master!$E$142)</f>
        <v/>
      </c>
    </row>
    <row r="139" spans="7:7" x14ac:dyDescent="0.25">
      <c r="G139" s="8" t="str">
        <f>IF(Master!$E$143="","",Master!$E$143)</f>
        <v/>
      </c>
    </row>
    <row r="140" spans="7:7" x14ac:dyDescent="0.25">
      <c r="G140" s="8" t="str">
        <f>IF(Master!$E$144="","",Master!$E$144)</f>
        <v/>
      </c>
    </row>
    <row r="141" spans="7:7" x14ac:dyDescent="0.25">
      <c r="G141" s="8" t="str">
        <f>IF(Master!$E$145="","",Master!$E$145)</f>
        <v/>
      </c>
    </row>
    <row r="142" spans="7:7" x14ac:dyDescent="0.25">
      <c r="G142" s="8" t="str">
        <f>IF(Master!$E$146="","",Master!$E$146)</f>
        <v/>
      </c>
    </row>
    <row r="143" spans="7:7" x14ac:dyDescent="0.25">
      <c r="G143" s="8" t="str">
        <f>IF(Master!$E$147="","",Master!$E$147)</f>
        <v/>
      </c>
    </row>
    <row r="144" spans="7:7" x14ac:dyDescent="0.25">
      <c r="G144" s="8" t="str">
        <f>IF(Master!$E$148="","",Master!$E$148)</f>
        <v/>
      </c>
    </row>
    <row r="145" spans="7:7" x14ac:dyDescent="0.25">
      <c r="G145" s="8" t="str">
        <f>IF(Master!$E$149="","",Master!$E$149)</f>
        <v/>
      </c>
    </row>
    <row r="146" spans="7:7" x14ac:dyDescent="0.25">
      <c r="G146" s="8" t="str">
        <f>IF(Master!$E$150="","",Master!$E$150)</f>
        <v/>
      </c>
    </row>
    <row r="147" spans="7:7" x14ac:dyDescent="0.25">
      <c r="G147" s="8" t="str">
        <f>IF(Master!$E$151="","",Master!$E$151)</f>
        <v/>
      </c>
    </row>
    <row r="148" spans="7:7" x14ac:dyDescent="0.25">
      <c r="G148" s="8" t="str">
        <f>IF(Master!$E$152="","",Master!$E$152)</f>
        <v/>
      </c>
    </row>
    <row r="149" spans="7:7" x14ac:dyDescent="0.25">
      <c r="G149" s="8" t="str">
        <f>IF(Master!$E$153="","",Master!$E$153)</f>
        <v/>
      </c>
    </row>
    <row r="150" spans="7:7" x14ac:dyDescent="0.25">
      <c r="G150" s="8" t="str">
        <f>IF(Master!$E$154="","",Master!$E$154)</f>
        <v/>
      </c>
    </row>
    <row r="151" spans="7:7" x14ac:dyDescent="0.25">
      <c r="G151" s="8" t="str">
        <f>IF(Master!$E$155="","",Master!$E$155)</f>
        <v/>
      </c>
    </row>
    <row r="152" spans="7:7" x14ac:dyDescent="0.25">
      <c r="G152" s="8" t="str">
        <f>IF(Master!$E$156="","",Master!$E$156)</f>
        <v/>
      </c>
    </row>
    <row r="153" spans="7:7" x14ac:dyDescent="0.25">
      <c r="G153" s="8" t="str">
        <f>IF(Master!$E$157="","",Master!$E$157)</f>
        <v/>
      </c>
    </row>
    <row r="154" spans="7:7" x14ac:dyDescent="0.25">
      <c r="G154" s="8" t="str">
        <f>IF(Master!$E$158="","",Master!$E$158)</f>
        <v/>
      </c>
    </row>
    <row r="155" spans="7:7" x14ac:dyDescent="0.25">
      <c r="G155" s="8" t="str">
        <f>IF(Master!$E$159="","",Master!$E$159)</f>
        <v/>
      </c>
    </row>
    <row r="156" spans="7:7" x14ac:dyDescent="0.25">
      <c r="G156" s="8" t="str">
        <f>IF(Master!$E$160="","",Master!$E$160)</f>
        <v/>
      </c>
    </row>
    <row r="157" spans="7:7" x14ac:dyDescent="0.25">
      <c r="G157" s="8" t="str">
        <f>IF(Master!$E$161="","",Master!$E$161)</f>
        <v/>
      </c>
    </row>
    <row r="158" spans="7:7" x14ac:dyDescent="0.25">
      <c r="G158" s="8" t="str">
        <f>IF(Master!$E$162="","",Master!$E$162)</f>
        <v/>
      </c>
    </row>
    <row r="159" spans="7:7" x14ac:dyDescent="0.25">
      <c r="G159" s="8" t="str">
        <f>IF(Master!$E$163="","",Master!$E$163)</f>
        <v/>
      </c>
    </row>
    <row r="160" spans="7:7" x14ac:dyDescent="0.25">
      <c r="G160" s="8" t="str">
        <f>IF(Master!$E$164="","",Master!$E$164)</f>
        <v/>
      </c>
    </row>
    <row r="161" spans="7:7" x14ac:dyDescent="0.25">
      <c r="G161" s="8" t="str">
        <f>IF(Master!$E$165="","",Master!$E$165)</f>
        <v/>
      </c>
    </row>
    <row r="162" spans="7:7" x14ac:dyDescent="0.25">
      <c r="G162" s="8" t="str">
        <f>IF(Master!$E$166="","",Master!$E$166)</f>
        <v/>
      </c>
    </row>
    <row r="163" spans="7:7" x14ac:dyDescent="0.25">
      <c r="G163" s="8" t="str">
        <f>IF(Master!$E$167="","",Master!$E$167)</f>
        <v/>
      </c>
    </row>
    <row r="164" spans="7:7" x14ac:dyDescent="0.25">
      <c r="G164" s="8" t="str">
        <f>IF(Master!$E$168="","",Master!$E$168)</f>
        <v/>
      </c>
    </row>
    <row r="165" spans="7:7" x14ac:dyDescent="0.25">
      <c r="G165" s="8" t="str">
        <f>IF(Master!$E$169="","",Master!$E$169)</f>
        <v/>
      </c>
    </row>
    <row r="166" spans="7:7" x14ac:dyDescent="0.25">
      <c r="G166" s="8" t="str">
        <f>IF(Master!$E$170="","",Master!$E$170)</f>
        <v/>
      </c>
    </row>
    <row r="167" spans="7:7" x14ac:dyDescent="0.25">
      <c r="G167" s="8" t="str">
        <f>IF(Master!$E$171="","",Master!$E$171)</f>
        <v/>
      </c>
    </row>
    <row r="168" spans="7:7" x14ac:dyDescent="0.25">
      <c r="G168" s="8" t="str">
        <f>IF(Master!$E$172="","",Master!$E$172)</f>
        <v/>
      </c>
    </row>
    <row r="169" spans="7:7" x14ac:dyDescent="0.25">
      <c r="G169" s="8" t="str">
        <f>IF(Master!$E$173="","",Master!$E$173)</f>
        <v/>
      </c>
    </row>
    <row r="170" spans="7:7" x14ac:dyDescent="0.25">
      <c r="G170" s="8" t="str">
        <f>IF(Master!$E$174="","",Master!$E$174)</f>
        <v/>
      </c>
    </row>
    <row r="171" spans="7:7" x14ac:dyDescent="0.25">
      <c r="G171" s="8" t="str">
        <f>IF(Master!$E$175="","",Master!$E$175)</f>
        <v/>
      </c>
    </row>
    <row r="172" spans="7:7" x14ac:dyDescent="0.25">
      <c r="G172" s="8" t="str">
        <f>IF(Master!$E$176="","",Master!$E$176)</f>
        <v/>
      </c>
    </row>
    <row r="173" spans="7:7" x14ac:dyDescent="0.25">
      <c r="G173" s="8" t="str">
        <f>IF(Master!$E$177="","",Master!$E$177)</f>
        <v/>
      </c>
    </row>
    <row r="174" spans="7:7" x14ac:dyDescent="0.25">
      <c r="G174" s="8" t="str">
        <f>IF(Master!$E$178="","",Master!$E$178)</f>
        <v/>
      </c>
    </row>
    <row r="175" spans="7:7" x14ac:dyDescent="0.25">
      <c r="G175" s="8" t="str">
        <f>IF(Master!$E$179="","",Master!$E$179)</f>
        <v/>
      </c>
    </row>
    <row r="176" spans="7:7" x14ac:dyDescent="0.25">
      <c r="G176" s="8" t="str">
        <f>IF(Master!$E$180="","",Master!$E$180)</f>
        <v/>
      </c>
    </row>
    <row r="177" spans="7:7" x14ac:dyDescent="0.25">
      <c r="G177" s="8" t="str">
        <f>IF(Master!$E$181="","",Master!$E$181)</f>
        <v/>
      </c>
    </row>
    <row r="178" spans="7:7" x14ac:dyDescent="0.25">
      <c r="G178" s="8" t="str">
        <f>IF(Master!$E$182="","",Master!$E$182)</f>
        <v/>
      </c>
    </row>
    <row r="179" spans="7:7" x14ac:dyDescent="0.25">
      <c r="G179" s="8" t="str">
        <f>IF(Master!$E$183="","",Master!$E$183)</f>
        <v/>
      </c>
    </row>
    <row r="180" spans="7:7" x14ac:dyDescent="0.25">
      <c r="G180" s="8" t="str">
        <f>IF(Master!$E$184="","",Master!$E$184)</f>
        <v/>
      </c>
    </row>
    <row r="181" spans="7:7" x14ac:dyDescent="0.25">
      <c r="G181" s="8" t="str">
        <f>IF(Master!$E$185="","",Master!$E$185)</f>
        <v/>
      </c>
    </row>
    <row r="182" spans="7:7" x14ac:dyDescent="0.25">
      <c r="G182" s="8" t="str">
        <f>IF(Master!$E$186="","",Master!$E$186)</f>
        <v/>
      </c>
    </row>
    <row r="183" spans="7:7" x14ac:dyDescent="0.25">
      <c r="G183" s="8" t="str">
        <f>IF(Master!$E$187="","",Master!$E$187)</f>
        <v/>
      </c>
    </row>
    <row r="184" spans="7:7" x14ac:dyDescent="0.25">
      <c r="G184" s="8" t="str">
        <f>IF(Master!$E$188="","",Master!$E$188)</f>
        <v/>
      </c>
    </row>
    <row r="185" spans="7:7" x14ac:dyDescent="0.25">
      <c r="G185" s="8" t="str">
        <f>IF(Master!$E$189="","",Master!$E$189)</f>
        <v/>
      </c>
    </row>
    <row r="186" spans="7:7" x14ac:dyDescent="0.25">
      <c r="G186" s="8" t="str">
        <f>IF(Master!$E$190="","",Master!$E$190)</f>
        <v/>
      </c>
    </row>
    <row r="187" spans="7:7" x14ac:dyDescent="0.25">
      <c r="G187" s="8" t="str">
        <f>IF(Master!$E$191="","",Master!$E$191)</f>
        <v/>
      </c>
    </row>
    <row r="188" spans="7:7" x14ac:dyDescent="0.25">
      <c r="G188" s="8" t="str">
        <f>IF(Master!$E$192="","",Master!$E$192)</f>
        <v/>
      </c>
    </row>
    <row r="189" spans="7:7" x14ac:dyDescent="0.25">
      <c r="G189" s="8" t="str">
        <f>IF(Master!$E$193="","",Master!$E$193)</f>
        <v/>
      </c>
    </row>
    <row r="190" spans="7:7" x14ac:dyDescent="0.25">
      <c r="G190" s="8" t="str">
        <f>IF(Master!$E$194="","",Master!$E$194)</f>
        <v/>
      </c>
    </row>
    <row r="191" spans="7:7" x14ac:dyDescent="0.25">
      <c r="G191" s="8" t="str">
        <f>IF(Master!$E$195="","",Master!$E$195)</f>
        <v/>
      </c>
    </row>
    <row r="192" spans="7:7" x14ac:dyDescent="0.25">
      <c r="G192" s="8" t="str">
        <f>IF(Master!$E$196="","",Master!$E$196)</f>
        <v/>
      </c>
    </row>
    <row r="193" spans="7:7" x14ac:dyDescent="0.25">
      <c r="G193" s="8" t="str">
        <f>IF(Master!$E$197="","",Master!$E$197)</f>
        <v/>
      </c>
    </row>
    <row r="194" spans="7:7" x14ac:dyDescent="0.25">
      <c r="G194" s="8" t="str">
        <f>IF(Master!$E$198="","",Master!$E$198)</f>
        <v/>
      </c>
    </row>
    <row r="195" spans="7:7" x14ac:dyDescent="0.25">
      <c r="G195" s="8" t="str">
        <f>IF(Master!$E$199="","",Master!$E$199)</f>
        <v/>
      </c>
    </row>
    <row r="196" spans="7:7" x14ac:dyDescent="0.25">
      <c r="G196" s="8" t="str">
        <f>IF(Master!$E$200="","",Master!$E$200)</f>
        <v/>
      </c>
    </row>
  </sheetData>
  <mergeCells count="2">
    <mergeCell ref="A1:D1"/>
    <mergeCell ref="A36:D36"/>
  </mergeCells>
  <dataValidations count="3">
    <dataValidation type="list" allowBlank="1" sqref="B5:B34" xr:uid="{00000000-0002-0000-0300-000000000000}">
      <formula1>$G$1:$G$196</formula1>
    </dataValidation>
    <dataValidation type="list" allowBlank="1" sqref="C5:C34" xr:uid="{00000000-0002-0000-0300-000001000000}">
      <formula1>$H$1:$H$36</formula1>
    </dataValidation>
    <dataValidation type="list" allowBlank="1" sqref="D2" xr:uid="{00000000-0002-0000-0300-000002000000}">
      <formula1>$F$1:$F$96</formula1>
    </dataValidation>
  </dataValidations>
  <printOptions horizontalCentered="1"/>
  <pageMargins left="0.5" right="0.5" top="0.5" bottom="0.5" header="0.5" footer="0.5"/>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Instructions</vt:lpstr>
      <vt:lpstr>Master</vt:lpstr>
      <vt:lpstr>Purchase List</vt:lpstr>
      <vt:lpstr>Price Quote</vt:lpstr>
      <vt:lpstr>'Price Quote'!Print_Area</vt:lpstr>
      <vt:lpstr>'Purchase List'!Print_Area</vt:lpstr>
      <vt:lpstr>'Price Quote'!Print_Titles</vt:lpstr>
      <vt:lpstr>'Purchase 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Lavesh Paryani</cp:lastModifiedBy>
  <dcterms:created xsi:type="dcterms:W3CDTF">2026-08-21T02:33:55Z</dcterms:created>
  <dcterms:modified xsi:type="dcterms:W3CDTF">2026-08-21T04:22:03Z</dcterms:modified>
</cp:coreProperties>
</file>