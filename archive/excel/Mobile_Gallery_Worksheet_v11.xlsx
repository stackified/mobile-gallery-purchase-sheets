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Master" sheetId="2" state="visible" r:id="rId2"/>
    <sheet xmlns:r="http://schemas.openxmlformats.org/officeDocument/2006/relationships" name="Purchase List" sheetId="3" state="visible" r:id="rId3"/>
    <sheet xmlns:r="http://schemas.openxmlformats.org/officeDocument/2006/relationships" name="Price Quote" sheetId="4" state="visible" r:id="rId4"/>
  </sheets>
  <definedNames>
    <definedName name="_xlnm.Print_Titles" localSheetId="2">'Purchase List'!$1:$4</definedName>
    <definedName name="_xlnm.Print_Area" localSheetId="2">'Purchase List'!$A$1:$P$64</definedName>
    <definedName name="_xlnm.Print_Titles" localSheetId="3">'Price Quote'!$1:$4</definedName>
    <definedName name="_xlnm.Print_Area" localSheetId="3">'Price Quote'!$A$1:$D$34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-mmm-yyyy"/>
  </numFmts>
  <fonts count="11">
    <font>
      <name val="Calibri"/>
      <family val="2"/>
      <color theme="1"/>
      <sz val="11"/>
      <scheme val="minor"/>
    </font>
    <font>
      <name val="Calibri"/>
      <b val="1"/>
      <color rgb="001F2937"/>
      <sz val="18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color rgb="000F172A"/>
      <sz val="11"/>
    </font>
    <font>
      <name val="Calibri"/>
      <b val="1"/>
      <color rgb="00334155"/>
      <sz val="11"/>
    </font>
    <font>
      <name val="Calibri"/>
      <b val="1"/>
      <color rgb="000F172A"/>
      <sz val="11"/>
    </font>
    <font>
      <name val="Calibri"/>
      <color rgb="0064748B"/>
      <sz val="10"/>
    </font>
    <font>
      <name val="Calibri"/>
      <b val="1"/>
      <color rgb="001F2937"/>
      <sz val="20"/>
    </font>
    <font>
      <name val="Calibri"/>
      <i val="1"/>
      <color rgb="0064748B"/>
      <sz val="12"/>
    </font>
    <font>
      <name val="Nirmala UI"/>
      <color rgb="000F172A"/>
      <sz val="11"/>
    </font>
  </fonts>
  <fills count="6">
    <fill>
      <patternFill/>
    </fill>
    <fill>
      <patternFill patternType="gray125"/>
    </fill>
    <fill>
      <patternFill patternType="solid">
        <fgColor rgb="00334155"/>
      </patternFill>
    </fill>
    <fill>
      <patternFill patternType="solid">
        <fgColor rgb="00FEF9C3"/>
      </patternFill>
    </fill>
    <fill>
      <patternFill patternType="solid">
        <fgColor rgb="00E0F2FE"/>
      </patternFill>
    </fill>
    <fill>
      <patternFill patternType="solid">
        <fgColor rgb="00F8FAFC"/>
      </patternFill>
    </fill>
  </fills>
  <borders count="5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 indent="1"/>
    </xf>
    <xf numFmtId="0" fontId="4" fillId="0" borderId="1" applyAlignment="1" pivotButton="0" quotePrefix="0" xfId="0">
      <alignment horizontal="left" vertical="center" wrapText="1" indent="1"/>
    </xf>
    <xf numFmtId="0" fontId="10" fillId="0" borderId="1" applyAlignment="1" pivotButton="0" quotePrefix="0" xfId="0">
      <alignment horizontal="left" vertical="center" wrapText="1" indent="1"/>
    </xf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 indent="1"/>
    </xf>
    <xf numFmtId="0" fontId="4" fillId="4" borderId="1" applyAlignment="1" pivotButton="0" quotePrefix="0" xfId="0">
      <alignment horizontal="left" vertical="center" wrapText="1" indent="1"/>
    </xf>
    <xf numFmtId="4" fontId="4" fillId="3" borderId="1" applyAlignment="1" pivotButton="0" quotePrefix="0" xfId="0">
      <alignment horizontal="right" vertical="center" indent="1"/>
    </xf>
    <xf numFmtId="0" fontId="4" fillId="0" borderId="0" pivotButton="0" quotePrefix="0" xfId="0"/>
    <xf numFmtId="0" fontId="5" fillId="0" borderId="0" applyAlignment="1" pivotButton="0" quotePrefix="0" xfId="0">
      <alignment horizontal="right" vertical="center" indent="1"/>
    </xf>
    <xf numFmtId="164" fontId="4" fillId="3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6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62" customWidth="1" min="2" max="2"/>
    <col width="62" customWidth="1" min="3" max="3"/>
  </cols>
  <sheetData>
    <row r="1" ht="36" customHeight="1">
      <c r="A1" s="1" t="inlineStr">
        <is>
          <t>Mobile Gallery - Daily Worksheet</t>
        </is>
      </c>
    </row>
    <row r="2">
      <c r="A2" s="2" t="inlineStr">
        <is>
          <t>How to use this file  /  इस फाइल का इस्तेमाल कैसे करें</t>
        </is>
      </c>
    </row>
    <row r="4" ht="30" customHeight="1">
      <c r="A4" s="3" t="inlineStr">
        <is>
          <t>Topic  /  विषय</t>
        </is>
      </c>
      <c r="B4" s="3" t="inlineStr">
        <is>
          <t>In English</t>
        </is>
      </c>
      <c r="C4" s="3" t="inlineStr">
        <is>
          <t>हिंदी में सरल भाषा</t>
        </is>
      </c>
    </row>
    <row r="5" ht="90" customHeight="1">
      <c r="A5" s="4" t="inlineStr">
        <is>
          <t>Master sheet
मास्टर शीट</t>
        </is>
      </c>
      <c r="B5" s="5" t="inlineStr">
        <is>
          <t>Master holds prices and client details. Yellow cells are editable. Update prices here anytime - Price List picks them up automatically.</t>
        </is>
      </c>
      <c r="C5" s="6" t="inlineStr">
        <is>
          <t>मास्टर में रेट और ग्राहक की जानकारी है। पीले खाने बदल सकते हैं। यहाँ रेट बदलो - Price List में अपने आप आ जाएगा।</t>
        </is>
      </c>
    </row>
    <row r="6" ht="90" customHeight="1">
      <c r="A6" s="4" t="inlineStr">
        <is>
          <t>Show Full Name column
Show Full Name कॉलम</t>
        </is>
      </c>
      <c r="B6" s="5" t="inlineStr">
        <is>
          <t>In Master, column C. Pick "Yes" for a client to make their dropdown value read "CODE - Full Name" (e.g. "FS - Fountainhead School"). Leave as "No" to show just the code ("FS"). The Display column (D) auto-computes what appears in the dropdown.</t>
        </is>
      </c>
      <c r="C6" s="6" t="inlineStr">
        <is>
          <t>मास्टर के C कॉलम में। किसी ग्राहक के लिए "Yes" चुनो तो ड्रॉपडाउन में "CODE - पूरा नाम" (जैसे "FS - Fountainhead School") दिखेगा। "No" रखो तो सिर्फ code ("FS")। Display कॉलम (D) अपने आप बना देता है।</t>
        </is>
      </c>
    </row>
    <row r="7" ht="90" customHeight="1">
      <c r="A7" s="4" t="inlineStr">
        <is>
          <t>Purchase List
खरीदी लिस्ट</t>
        </is>
      </c>
      <c r="B7" s="5" t="inlineStr">
        <is>
          <t>Fill Date. In row 4 pick each client from the yellow header dropdowns. For each item row: pick ITEM, then type quantity for each client. UNIT and TOTAL fill automatically.</t>
        </is>
      </c>
      <c r="C7" s="6" t="inlineStr">
        <is>
          <t>तारीख भरें। पंक्ति 4 में ड्रॉपडाउन से ग्राहक चुनें। हर लाइन: चीज़ चुनें, फिर हर ग्राहक की मात्रा लिखें। यूनिट और कुल जोड़ अपने आप।</t>
        </is>
      </c>
    </row>
    <row r="8" ht="90" customHeight="1">
      <c r="A8" s="4" t="inlineStr">
        <is>
          <t>Price List
प्राइस लिस्ट</t>
        </is>
      </c>
      <c r="B8" s="5" t="inlineStr">
        <is>
          <t>Fill Date, pick Customer from dropdown. Pick items - rate auto-fills from Master. To quote a different price to this customer, type over the rate cell.</t>
        </is>
      </c>
      <c r="C8" s="6" t="inlineStr">
        <is>
          <t>तारीख भरें, ग्राहक चुनें। चीज़ें चुनें - रेट मास्टर से आ जाएगा। अलग रेट बताना है तो रेट के खाने में ऊपर से नया नंबर लिख दो।</t>
        </is>
      </c>
    </row>
    <row r="9" ht="90" customHeight="1">
      <c r="A9" s="4" t="inlineStr">
        <is>
          <t>Update a price
रेट बदलें</t>
        </is>
      </c>
      <c r="B9" s="5" t="inlineStr">
        <is>
          <t>One step: Master sheet, column I. Any rate cell in Price List that you have NOT typed over updates automatically.</t>
        </is>
      </c>
      <c r="C9" s="6" t="inlineStr">
        <is>
          <t>एक कदम: मास्टर शीट, I कॉलम। Price List में जहाँ आपने खुद नहीं लिखा है वो अपने आप बदल जाएगा।</t>
        </is>
      </c>
    </row>
    <row r="10" ht="90" customHeight="1">
      <c r="A10" s="4" t="inlineStr">
        <is>
          <t>Add a NEW item / client
नयी चीज़ / ग्राहक</t>
        </is>
      </c>
      <c r="B10" s="5" t="inlineStr">
        <is>
          <t>One-time: just type it in the yellow cell. Excel/Calc may warn - click 'Yes' to keep it. Permanent (in dropdown): send us the new item / client and we'll rebuild the file.</t>
        </is>
      </c>
      <c r="C10" s="6" t="inlineStr">
        <is>
          <t>एक बार के लिए: पीले खाने में सीधे लिख दो। Warning आए तो 'Yes' दबा दो। पक्का ड्रॉपडाउन में जोड़ना है: हमें भेजो, फाइल फिर से बना देंगे।</t>
        </is>
      </c>
    </row>
    <row r="11" ht="90" customHeight="1">
      <c r="A11" s="4" t="inlineStr">
        <is>
          <t>Print
प्रिंट</t>
        </is>
      </c>
      <c r="B11" s="5" t="inlineStr">
        <is>
          <t>Ctrl + P. Purchase List prints landscape, Price List prints portrait. Long client names wrap onto multiple lines so they still print in full.</t>
        </is>
      </c>
      <c r="C11" s="6" t="inlineStr">
        <is>
          <t>Ctrl + P दबाओ। खरीदी लिस्ट landscape, प्राइस लिस्ट portrait में। लंबे ग्राहक नाम कई लाइन में wrap होकर पूरे प्रिंट होंगे।</t>
        </is>
      </c>
    </row>
    <row r="12" ht="90" customHeight="1">
      <c r="A12" s="4" t="inlineStr">
        <is>
          <t>Save daily copy
रोज़ नई फाइल</t>
        </is>
      </c>
      <c r="B12" s="5" t="inlineStr">
        <is>
          <t>File &gt; Save As before starting a new day. Then clear the yellow cells. Master stays untouched.</t>
        </is>
      </c>
      <c r="C12" s="6" t="inlineStr">
        <is>
          <t>नए दिन से पहले File &gt; Save As। फिर पीले खाने खाली कर दो। मास्टर वैसे ही।</t>
        </is>
      </c>
    </row>
    <row r="13" ht="90" customHeight="1">
      <c r="A13" s="4" t="inlineStr">
        <is>
          <t>Colour guide
रंग समझें</t>
        </is>
      </c>
      <c r="B13" s="5" t="inlineStr">
        <is>
          <t>Yellow = editable.  Blue = auto-calculated.  Dark = header, do not touch.</t>
        </is>
      </c>
      <c r="C13" s="6" t="inlineStr">
        <is>
          <t>पीला = बदल सकते हैं।  नीला = अपने आप।  गहरा = हैडर।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34" customWidth="1" min="4" max="4"/>
    <col width="2" customWidth="1" min="5" max="5"/>
    <col width="12" customWidth="1" min="6" max="6"/>
    <col width="30" customWidth="1" min="7" max="7"/>
    <col width="14" customWidth="1" min="8" max="8"/>
    <col width="12" customWidth="1" min="9" max="9"/>
    <col width="2" customWidth="1" min="10" max="10"/>
    <col width="14" customWidth="1" min="11" max="11"/>
  </cols>
  <sheetData>
    <row r="1" ht="30" customHeight="1">
      <c r="A1" s="7" t="inlineStr">
        <is>
          <t>Master Data - Mobile Gallery</t>
        </is>
      </c>
    </row>
    <row r="2" ht="30" customHeight="1">
      <c r="A2" s="8" t="inlineStr">
        <is>
          <t>Yellow cells are editable.  Tick "Yes" in the Show Full Name column to make that client appear in dropdowns as "CODE - Full Name" instead of just "CODE".</t>
        </is>
      </c>
    </row>
    <row r="4" ht="30" customHeight="1">
      <c r="A4" s="3" t="inlineStr">
        <is>
          <t>Code</t>
        </is>
      </c>
      <c r="B4" s="3" t="inlineStr">
        <is>
          <t>Client / Customer Name</t>
        </is>
      </c>
      <c r="C4" s="3" t="inlineStr">
        <is>
          <t>Show Full Name</t>
        </is>
      </c>
      <c r="D4" s="3" t="inlineStr">
        <is>
          <t>Display (auto)</t>
        </is>
      </c>
      <c r="F4" s="3" t="inlineStr">
        <is>
          <t>Category</t>
        </is>
      </c>
      <c r="G4" s="3" t="inlineStr">
        <is>
          <t>Item</t>
        </is>
      </c>
      <c r="H4" s="3" t="inlineStr">
        <is>
          <t>Default Unit</t>
        </is>
      </c>
      <c r="I4" s="3" t="inlineStr">
        <is>
          <t>Price (Rs.)</t>
        </is>
      </c>
      <c r="K4" s="3" t="inlineStr">
        <is>
          <t>Units</t>
        </is>
      </c>
    </row>
    <row r="5">
      <c r="A5" s="9" t="inlineStr">
        <is>
          <t>FS</t>
        </is>
      </c>
      <c r="B5" s="10" t="inlineStr">
        <is>
          <t>Fountainhead School</t>
        </is>
      </c>
      <c r="C5" s="9" t="inlineStr">
        <is>
          <t>No</t>
        </is>
      </c>
      <c r="D5" s="11">
        <f>IF(A5="","",IF(C5="Yes",A5&amp;" - "&amp;B5,A5))</f>
        <v/>
      </c>
      <c r="F5" s="9" t="inlineStr">
        <is>
          <t>VEG</t>
        </is>
      </c>
      <c r="G5" s="10" t="inlineStr">
        <is>
          <t>POTATO</t>
        </is>
      </c>
      <c r="H5" s="9" t="inlineStr">
        <is>
          <t>KG</t>
        </is>
      </c>
      <c r="I5" s="12" t="n"/>
      <c r="K5" s="9" t="inlineStr">
        <is>
          <t>KG</t>
        </is>
      </c>
    </row>
    <row r="6">
      <c r="A6" s="9" t="inlineStr">
        <is>
          <t>GD</t>
        </is>
      </c>
      <c r="B6" s="10" t="inlineStr">
        <is>
          <t>G International-1 (Dandi)</t>
        </is>
      </c>
      <c r="C6" s="9" t="inlineStr">
        <is>
          <t>No</t>
        </is>
      </c>
      <c r="D6" s="11">
        <f>IF(A6="","",IF(C6="Yes",A6&amp;" - "&amp;B6,A6))</f>
        <v/>
      </c>
      <c r="F6" s="9" t="inlineStr">
        <is>
          <t>VEG</t>
        </is>
      </c>
      <c r="G6" s="10" t="inlineStr">
        <is>
          <t>ONION</t>
        </is>
      </c>
      <c r="H6" s="9" t="inlineStr">
        <is>
          <t>KG</t>
        </is>
      </c>
      <c r="I6" s="12" t="n"/>
      <c r="K6" s="9" t="inlineStr">
        <is>
          <t>DOZEN</t>
        </is>
      </c>
    </row>
    <row r="7">
      <c r="A7" s="9" t="inlineStr">
        <is>
          <t>GDG</t>
        </is>
      </c>
      <c r="B7" s="10" t="inlineStr">
        <is>
          <t>G International-2 (DG Corp)</t>
        </is>
      </c>
      <c r="C7" s="9" t="inlineStr">
        <is>
          <t>No</t>
        </is>
      </c>
      <c r="D7" s="11">
        <f>IF(A7="","",IF(C7="Yes",A7&amp;" - "&amp;B7,A7))</f>
        <v/>
      </c>
      <c r="F7" s="9" t="inlineStr">
        <is>
          <t>VEG</t>
        </is>
      </c>
      <c r="G7" s="10" t="inlineStr">
        <is>
          <t>TOMATO</t>
        </is>
      </c>
      <c r="H7" s="9" t="inlineStr">
        <is>
          <t>KG</t>
        </is>
      </c>
      <c r="I7" s="12" t="n"/>
      <c r="K7" s="9" t="inlineStr">
        <is>
          <t>PCS</t>
        </is>
      </c>
    </row>
    <row r="8">
      <c r="A8" s="9" t="inlineStr">
        <is>
          <t>GM</t>
        </is>
      </c>
      <c r="B8" s="10" t="inlineStr">
        <is>
          <t>Gyan Mudra</t>
        </is>
      </c>
      <c r="C8" s="9" t="inlineStr">
        <is>
          <t>No</t>
        </is>
      </c>
      <c r="D8" s="11">
        <f>IF(A8="","",IF(C8="Yes",A8&amp;" - "&amp;B8,A8))</f>
        <v/>
      </c>
      <c r="F8" s="9" t="inlineStr">
        <is>
          <t>VEG</t>
        </is>
      </c>
      <c r="G8" s="10" t="inlineStr">
        <is>
          <t>GARLIC (LASUN)</t>
        </is>
      </c>
      <c r="H8" s="9" t="inlineStr">
        <is>
          <t>KG</t>
        </is>
      </c>
      <c r="I8" s="12" t="n"/>
      <c r="K8" s="9" t="inlineStr">
        <is>
          <t>GM</t>
        </is>
      </c>
    </row>
    <row r="9">
      <c r="A9" s="9" t="inlineStr">
        <is>
          <t>JNVV</t>
        </is>
      </c>
      <c r="B9" s="10" t="inlineStr">
        <is>
          <t>JNV (Vankal)</t>
        </is>
      </c>
      <c r="C9" s="9" t="inlineStr">
        <is>
          <t>No</t>
        </is>
      </c>
      <c r="D9" s="11">
        <f>IF(A9="","",IF(C9="Yes",A9&amp;" - "&amp;B9,A9))</f>
        <v/>
      </c>
      <c r="F9" s="9" t="inlineStr">
        <is>
          <t>VEG</t>
        </is>
      </c>
      <c r="G9" s="10" t="inlineStr">
        <is>
          <t>GINGER (ADRAK)</t>
        </is>
      </c>
      <c r="H9" s="9" t="inlineStr">
        <is>
          <t>KG</t>
        </is>
      </c>
      <c r="I9" s="12" t="n"/>
      <c r="K9" s="9" t="inlineStr">
        <is>
          <t>PACKET</t>
        </is>
      </c>
    </row>
    <row r="10">
      <c r="A10" s="9" t="inlineStr">
        <is>
          <t>JNVB</t>
        </is>
      </c>
      <c r="B10" s="10" t="inlineStr">
        <is>
          <t>JNV (Bhajipura)</t>
        </is>
      </c>
      <c r="C10" s="9" t="inlineStr">
        <is>
          <t>No</t>
        </is>
      </c>
      <c r="D10" s="11">
        <f>IF(A10="","",IF(C10="Yes",A10&amp;" - "&amp;B10,A10))</f>
        <v/>
      </c>
      <c r="F10" s="9" t="inlineStr">
        <is>
          <t>VEG</t>
        </is>
      </c>
      <c r="G10" s="10" t="inlineStr">
        <is>
          <t>GREEN CHILLY</t>
        </is>
      </c>
      <c r="H10" s="9" t="inlineStr">
        <is>
          <t>KG</t>
        </is>
      </c>
      <c r="I10" s="12" t="n"/>
      <c r="K10" s="9" t="inlineStr">
        <is>
          <t>BUNCH</t>
        </is>
      </c>
    </row>
    <row r="11">
      <c r="A11" s="9" t="inlineStr">
        <is>
          <t>GKU</t>
        </is>
      </c>
      <c r="B11" s="10" t="inlineStr">
        <is>
          <t>Gurukrupa (Udhna)</t>
        </is>
      </c>
      <c r="C11" s="9" t="inlineStr">
        <is>
          <t>No</t>
        </is>
      </c>
      <c r="D11" s="11">
        <f>IF(A11="","",IF(C11="Yes",A11&amp;" - "&amp;B11,A11))</f>
        <v/>
      </c>
      <c r="F11" s="9" t="inlineStr">
        <is>
          <t>VEG</t>
        </is>
      </c>
      <c r="G11" s="10" t="inlineStr">
        <is>
          <t>FAFADA MIRCH</t>
        </is>
      </c>
      <c r="H11" s="9" t="inlineStr">
        <is>
          <t>KG</t>
        </is>
      </c>
      <c r="I11" s="12" t="n"/>
      <c r="K11" s="9" t="inlineStr">
        <is>
          <t>BUNDLE</t>
        </is>
      </c>
    </row>
    <row r="12">
      <c r="A12" s="9" t="n"/>
      <c r="B12" s="10" t="n"/>
      <c r="C12" s="9" t="n"/>
      <c r="D12" s="11">
        <f>IF(A12="","",IF(C12="Yes",A12&amp;" - "&amp;B12,A12))</f>
        <v/>
      </c>
      <c r="F12" s="9" t="inlineStr">
        <is>
          <t>VEG</t>
        </is>
      </c>
      <c r="G12" s="10" t="inlineStr">
        <is>
          <t>CORIANDER (DHANIYA)</t>
        </is>
      </c>
      <c r="H12" s="9" t="inlineStr">
        <is>
          <t>KG</t>
        </is>
      </c>
      <c r="I12" s="12" t="n"/>
      <c r="K12" s="9" t="inlineStr">
        <is>
          <t>BOX</t>
        </is>
      </c>
    </row>
    <row r="13">
      <c r="A13" s="9" t="n"/>
      <c r="B13" s="10" t="n"/>
      <c r="C13" s="9" t="n"/>
      <c r="D13" s="11">
        <f>IF(A13="","",IF(C13="Yes",A13&amp;" - "&amp;B13,A13))</f>
        <v/>
      </c>
      <c r="F13" s="9" t="inlineStr">
        <is>
          <t>VEG</t>
        </is>
      </c>
      <c r="G13" s="10" t="inlineStr">
        <is>
          <t>KOBICH</t>
        </is>
      </c>
      <c r="H13" s="9" t="inlineStr">
        <is>
          <t>KG</t>
        </is>
      </c>
      <c r="I13" s="12" t="n"/>
      <c r="K13" s="9" t="inlineStr">
        <is>
          <t>CRATE</t>
        </is>
      </c>
    </row>
    <row r="14">
      <c r="A14" s="9" t="n"/>
      <c r="B14" s="10" t="n"/>
      <c r="C14" s="9" t="n"/>
      <c r="D14" s="11">
        <f>IF(A14="","",IF(C14="Yes",A14&amp;" - "&amp;B14,A14))</f>
        <v/>
      </c>
      <c r="F14" s="9" t="inlineStr">
        <is>
          <t>VEG</t>
        </is>
      </c>
      <c r="G14" s="10" t="inlineStr">
        <is>
          <t>GAULI FLOWER</t>
        </is>
      </c>
      <c r="H14" s="9" t="inlineStr">
        <is>
          <t>KG</t>
        </is>
      </c>
      <c r="I14" s="12" t="n"/>
      <c r="K14" s="9" t="inlineStr">
        <is>
          <t>LITRE</t>
        </is>
      </c>
    </row>
    <row r="15">
      <c r="A15" s="9" t="n"/>
      <c r="B15" s="10" t="n"/>
      <c r="C15" s="9" t="n"/>
      <c r="D15" s="11">
        <f>IF(A15="","",IF(C15="Yes",A15&amp;" - "&amp;B15,A15))</f>
        <v/>
      </c>
      <c r="F15" s="9" t="inlineStr">
        <is>
          <t>VEG</t>
        </is>
      </c>
      <c r="G15" s="10" t="inlineStr">
        <is>
          <t>BINAPATTE KA FLOWER</t>
        </is>
      </c>
      <c r="H15" s="9" t="inlineStr">
        <is>
          <t>KG</t>
        </is>
      </c>
      <c r="I15" s="12" t="n"/>
      <c r="K15" s="9" t="inlineStr">
        <is>
          <t>GUNI</t>
        </is>
      </c>
    </row>
    <row r="16">
      <c r="A16" s="9" t="n"/>
      <c r="B16" s="10" t="n"/>
      <c r="C16" s="9" t="n"/>
      <c r="D16" s="11">
        <f>IF(A16="","",IF(C16="Yes",A16&amp;" - "&amp;B16,A16))</f>
        <v/>
      </c>
      <c r="F16" s="9" t="inlineStr">
        <is>
          <t>VEG</t>
        </is>
      </c>
      <c r="G16" s="10" t="inlineStr">
        <is>
          <t>LAUKI</t>
        </is>
      </c>
      <c r="H16" s="9" t="inlineStr">
        <is>
          <t>KG</t>
        </is>
      </c>
      <c r="I16" s="12" t="n"/>
      <c r="K16" s="9" t="n"/>
    </row>
    <row r="17">
      <c r="A17" s="9" t="n"/>
      <c r="B17" s="10" t="n"/>
      <c r="C17" s="9" t="n"/>
      <c r="D17" s="11">
        <f>IF(A17="","",IF(C17="Yes",A17&amp;" - "&amp;B17,A17))</f>
        <v/>
      </c>
      <c r="F17" s="9" t="inlineStr">
        <is>
          <t>VEG</t>
        </is>
      </c>
      <c r="G17" s="10" t="inlineStr">
        <is>
          <t>BHINDI</t>
        </is>
      </c>
      <c r="H17" s="9" t="inlineStr">
        <is>
          <t>KG</t>
        </is>
      </c>
      <c r="I17" s="12" t="n"/>
      <c r="K17" s="9" t="n"/>
    </row>
    <row r="18">
      <c r="A18" s="9" t="n"/>
      <c r="B18" s="10" t="n"/>
      <c r="C18" s="9" t="n"/>
      <c r="D18" s="11">
        <f>IF(A18="","",IF(C18="Yes",A18&amp;" - "&amp;B18,A18))</f>
        <v/>
      </c>
      <c r="F18" s="9" t="inlineStr">
        <is>
          <t>VEG</t>
        </is>
      </c>
      <c r="G18" s="10" t="inlineStr">
        <is>
          <t>BRINJAL</t>
        </is>
      </c>
      <c r="H18" s="9" t="inlineStr">
        <is>
          <t>KG</t>
        </is>
      </c>
      <c r="I18" s="12" t="n"/>
      <c r="K18" s="9" t="n"/>
    </row>
    <row r="19">
      <c r="A19" s="9" t="n"/>
      <c r="B19" s="10" t="n"/>
      <c r="C19" s="9" t="n"/>
      <c r="D19" s="11">
        <f>IF(A19="","",IF(C19="Yes",A19&amp;" - "&amp;B19,A19))</f>
        <v/>
      </c>
      <c r="F19" s="9" t="inlineStr">
        <is>
          <t>VEG</t>
        </is>
      </c>
      <c r="G19" s="10" t="inlineStr">
        <is>
          <t>TINDORA</t>
        </is>
      </c>
      <c r="H19" s="9" t="inlineStr">
        <is>
          <t>KG</t>
        </is>
      </c>
      <c r="I19" s="12" t="n"/>
      <c r="K19" s="9" t="n"/>
    </row>
    <row r="20">
      <c r="A20" s="9" t="n"/>
      <c r="B20" s="10" t="n"/>
      <c r="C20" s="9" t="n"/>
      <c r="D20" s="11">
        <f>IF(A20="","",IF(C20="Yes",A20&amp;" - "&amp;B20,A20))</f>
        <v/>
      </c>
      <c r="F20" s="9" t="inlineStr">
        <is>
          <t>VEG</t>
        </is>
      </c>
      <c r="G20" s="10" t="inlineStr">
        <is>
          <t>PARVAL</t>
        </is>
      </c>
      <c r="H20" s="9" t="inlineStr">
        <is>
          <t>KG</t>
        </is>
      </c>
      <c r="I20" s="12" t="n"/>
      <c r="K20" s="9" t="n"/>
    </row>
    <row r="21">
      <c r="A21" s="9" t="n"/>
      <c r="B21" s="10" t="n"/>
      <c r="C21" s="9" t="n"/>
      <c r="D21" s="11">
        <f>IF(A21="","",IF(C21="Yes",A21&amp;" - "&amp;B21,A21))</f>
        <v/>
      </c>
      <c r="F21" s="9" t="inlineStr">
        <is>
          <t>VEG</t>
        </is>
      </c>
      <c r="G21" s="10" t="inlineStr">
        <is>
          <t>TURIYA</t>
        </is>
      </c>
      <c r="H21" s="9" t="inlineStr">
        <is>
          <t>KG</t>
        </is>
      </c>
      <c r="I21" s="12" t="n"/>
      <c r="K21" s="9" t="n"/>
    </row>
    <row r="22">
      <c r="A22" s="9" t="n"/>
      <c r="B22" s="10" t="n"/>
      <c r="C22" s="9" t="n"/>
      <c r="D22" s="11">
        <f>IF(A22="","",IF(C22="Yes",A22&amp;" - "&amp;B22,A22))</f>
        <v/>
      </c>
      <c r="F22" s="9" t="inlineStr">
        <is>
          <t>VEG</t>
        </is>
      </c>
      <c r="G22" s="10" t="inlineStr">
        <is>
          <t>SIMLA MIRCH</t>
        </is>
      </c>
      <c r="H22" s="9" t="inlineStr">
        <is>
          <t>KG</t>
        </is>
      </c>
      <c r="I22" s="12" t="n"/>
      <c r="K22" s="9" t="n"/>
    </row>
    <row r="23">
      <c r="A23" s="9" t="n"/>
      <c r="B23" s="10" t="n"/>
      <c r="C23" s="9" t="n"/>
      <c r="D23" s="11">
        <f>IF(A23="","",IF(C23="Yes",A23&amp;" - "&amp;B23,A23))</f>
        <v/>
      </c>
      <c r="F23" s="9" t="inlineStr">
        <is>
          <t>VEG</t>
        </is>
      </c>
      <c r="G23" s="10" t="inlineStr">
        <is>
          <t>FANSI</t>
        </is>
      </c>
      <c r="H23" s="9" t="inlineStr">
        <is>
          <t>KG</t>
        </is>
      </c>
      <c r="I23" s="12" t="n"/>
      <c r="K23" s="9" t="n"/>
    </row>
    <row r="24">
      <c r="A24" s="9" t="n"/>
      <c r="B24" s="10" t="n"/>
      <c r="C24" s="9" t="n"/>
      <c r="D24" s="11">
        <f>IF(A24="","",IF(C24="Yes",A24&amp;" - "&amp;B24,A24))</f>
        <v/>
      </c>
      <c r="F24" s="9" t="inlineStr">
        <is>
          <t>VEG</t>
        </is>
      </c>
      <c r="G24" s="10" t="inlineStr">
        <is>
          <t>GUVAR</t>
        </is>
      </c>
      <c r="H24" s="9" t="inlineStr">
        <is>
          <t>KG</t>
        </is>
      </c>
      <c r="I24" s="12" t="n"/>
      <c r="K24" s="9" t="n"/>
    </row>
    <row r="25">
      <c r="A25" s="9" t="n"/>
      <c r="B25" s="10" t="n"/>
      <c r="C25" s="9" t="n"/>
      <c r="D25" s="11">
        <f>IF(A25="","",IF(C25="Yes",A25&amp;" - "&amp;B25,A25))</f>
        <v/>
      </c>
      <c r="F25" s="9" t="inlineStr">
        <is>
          <t>VEG</t>
        </is>
      </c>
      <c r="G25" s="10" t="inlineStr">
        <is>
          <t>SARAGVA SING</t>
        </is>
      </c>
      <c r="H25" s="9" t="inlineStr">
        <is>
          <t>KG</t>
        </is>
      </c>
      <c r="I25" s="12" t="n"/>
      <c r="K25" s="9" t="n"/>
    </row>
    <row r="26">
      <c r="A26" s="9" t="n"/>
      <c r="B26" s="10" t="n"/>
      <c r="C26" s="9" t="n"/>
      <c r="D26" s="11">
        <f>IF(A26="","",IF(C26="Yes",A26&amp;" - "&amp;B26,A26))</f>
        <v/>
      </c>
      <c r="F26" s="9" t="inlineStr">
        <is>
          <t>VEG</t>
        </is>
      </c>
      <c r="G26" s="10" t="inlineStr">
        <is>
          <t>GREEN PEACE</t>
        </is>
      </c>
      <c r="H26" s="9" t="inlineStr">
        <is>
          <t>KG</t>
        </is>
      </c>
      <c r="I26" s="12" t="n"/>
      <c r="K26" s="9" t="n"/>
    </row>
    <row r="27">
      <c r="A27" s="9" t="n"/>
      <c r="B27" s="10" t="n"/>
      <c r="C27" s="9" t="n"/>
      <c r="D27" s="11">
        <f>IF(A27="","",IF(C27="Yes",A27&amp;" - "&amp;B27,A27))</f>
        <v/>
      </c>
      <c r="F27" s="9" t="inlineStr">
        <is>
          <t>VEG</t>
        </is>
      </c>
      <c r="G27" s="10" t="inlineStr">
        <is>
          <t>KATARGAM PAP</t>
        </is>
      </c>
      <c r="H27" s="9" t="inlineStr">
        <is>
          <t>KG</t>
        </is>
      </c>
      <c r="I27" s="12" t="n"/>
      <c r="K27" s="9" t="n"/>
    </row>
    <row r="28">
      <c r="A28" s="9" t="n"/>
      <c r="B28" s="10" t="n"/>
      <c r="C28" s="9" t="n"/>
      <c r="D28" s="11">
        <f>IF(A28="","",IF(C28="Yes",A28&amp;" - "&amp;B28,A28))</f>
        <v/>
      </c>
      <c r="F28" s="9" t="inlineStr">
        <is>
          <t>VEG</t>
        </is>
      </c>
      <c r="G28" s="10" t="inlineStr">
        <is>
          <t>WHITE PUMPKIN</t>
        </is>
      </c>
      <c r="H28" s="9" t="inlineStr">
        <is>
          <t>KG</t>
        </is>
      </c>
      <c r="I28" s="12" t="n"/>
      <c r="K28" s="9" t="n"/>
    </row>
    <row r="29">
      <c r="A29" s="9" t="n"/>
      <c r="B29" s="10" t="n"/>
      <c r="C29" s="9" t="n"/>
      <c r="D29" s="11">
        <f>IF(A29="","",IF(C29="Yes",A29&amp;" - "&amp;B29,A29))</f>
        <v/>
      </c>
      <c r="F29" s="9" t="inlineStr">
        <is>
          <t>VEG</t>
        </is>
      </c>
      <c r="G29" s="10" t="inlineStr">
        <is>
          <t>LEMON</t>
        </is>
      </c>
      <c r="H29" s="9" t="inlineStr">
        <is>
          <t>PCS</t>
        </is>
      </c>
      <c r="I29" s="12" t="n"/>
      <c r="K29" s="9" t="n"/>
    </row>
    <row r="30">
      <c r="A30" s="9" t="n"/>
      <c r="B30" s="10" t="n"/>
      <c r="C30" s="9" t="n"/>
      <c r="D30" s="11">
        <f>IF(A30="","",IF(C30="Yes",A30&amp;" - "&amp;B30,A30))</f>
        <v/>
      </c>
      <c r="F30" s="9" t="inlineStr">
        <is>
          <t>VEG</t>
        </is>
      </c>
      <c r="G30" s="10" t="inlineStr">
        <is>
          <t>CARROT (RED)</t>
        </is>
      </c>
      <c r="H30" s="9" t="inlineStr">
        <is>
          <t>KG</t>
        </is>
      </c>
      <c r="I30" s="12" t="n"/>
      <c r="K30" s="9" t="n"/>
    </row>
    <row r="31">
      <c r="A31" s="9" t="n"/>
      <c r="B31" s="10" t="n"/>
      <c r="C31" s="9" t="n"/>
      <c r="D31" s="11">
        <f>IF(A31="","",IF(C31="Yes",A31&amp;" - "&amp;B31,A31))</f>
        <v/>
      </c>
      <c r="F31" s="9" t="inlineStr">
        <is>
          <t>VEG</t>
        </is>
      </c>
      <c r="G31" s="10" t="inlineStr">
        <is>
          <t>CARROT (ORANGE)</t>
        </is>
      </c>
      <c r="H31" s="9" t="inlineStr">
        <is>
          <t>KG</t>
        </is>
      </c>
      <c r="I31" s="12" t="n"/>
      <c r="K31" s="9" t="n"/>
    </row>
    <row r="32">
      <c r="A32" s="9" t="n"/>
      <c r="B32" s="10" t="n"/>
      <c r="C32" s="9" t="n"/>
      <c r="D32" s="11">
        <f>IF(A32="","",IF(C32="Yes",A32&amp;" - "&amp;B32,A32))</f>
        <v/>
      </c>
      <c r="F32" s="9" t="inlineStr">
        <is>
          <t>VEG</t>
        </is>
      </c>
      <c r="G32" s="10" t="inlineStr">
        <is>
          <t>KAKDI</t>
        </is>
      </c>
      <c r="H32" s="9" t="inlineStr">
        <is>
          <t>KG</t>
        </is>
      </c>
      <c r="I32" s="12" t="n"/>
      <c r="K32" s="9" t="n"/>
    </row>
    <row r="33">
      <c r="A33" s="9" t="n"/>
      <c r="B33" s="10" t="n"/>
      <c r="C33" s="9" t="n"/>
      <c r="D33" s="11">
        <f>IF(A33="","",IF(C33="Yes",A33&amp;" - "&amp;B33,A33))</f>
        <v/>
      </c>
      <c r="F33" s="9" t="inlineStr">
        <is>
          <t>VEG</t>
        </is>
      </c>
      <c r="G33" s="10" t="inlineStr">
        <is>
          <t>MOOLI</t>
        </is>
      </c>
      <c r="H33" s="9" t="inlineStr">
        <is>
          <t>KG</t>
        </is>
      </c>
      <c r="I33" s="12" t="n"/>
      <c r="K33" s="9" t="n"/>
    </row>
    <row r="34">
      <c r="A34" s="9" t="n"/>
      <c r="B34" s="10" t="n"/>
      <c r="C34" s="9" t="n"/>
      <c r="D34" s="11">
        <f>IF(A34="","",IF(C34="Yes",A34&amp;" - "&amp;B34,A34))</f>
        <v/>
      </c>
      <c r="F34" s="9" t="inlineStr">
        <is>
          <t>VEG</t>
        </is>
      </c>
      <c r="G34" s="10" t="inlineStr">
        <is>
          <t>BEETROOT</t>
        </is>
      </c>
      <c r="H34" s="9" t="inlineStr">
        <is>
          <t>KG</t>
        </is>
      </c>
      <c r="I34" s="12" t="n"/>
      <c r="K34" s="9" t="n"/>
    </row>
    <row r="35">
      <c r="A35" s="9" t="n"/>
      <c r="B35" s="10" t="n"/>
      <c r="C35" s="9" t="n"/>
      <c r="D35" s="11">
        <f>IF(A35="","",IF(C35="Yes",A35&amp;" - "&amp;B35,A35))</f>
        <v/>
      </c>
      <c r="F35" s="9" t="inlineStr">
        <is>
          <t>VEG</t>
        </is>
      </c>
      <c r="G35" s="10" t="inlineStr">
        <is>
          <t>CORN (MAKKAI)</t>
        </is>
      </c>
      <c r="H35" s="9" t="inlineStr">
        <is>
          <t>KG</t>
        </is>
      </c>
      <c r="I35" s="12" t="n"/>
      <c r="K35" s="9" t="n"/>
    </row>
    <row r="36">
      <c r="A36" s="9" t="n"/>
      <c r="B36" s="10" t="n"/>
      <c r="C36" s="9" t="n"/>
      <c r="D36" s="11">
        <f>IF(A36="","",IF(C36="Yes",A36&amp;" - "&amp;B36,A36))</f>
        <v/>
      </c>
      <c r="F36" s="9" t="inlineStr">
        <is>
          <t>VEG</t>
        </is>
      </c>
      <c r="G36" s="10" t="inlineStr">
        <is>
          <t>METHI</t>
        </is>
      </c>
      <c r="H36" s="9" t="inlineStr">
        <is>
          <t>KG</t>
        </is>
      </c>
      <c r="I36" s="12" t="n"/>
      <c r="K36" s="9" t="n"/>
    </row>
    <row r="37">
      <c r="A37" s="9" t="n"/>
      <c r="B37" s="10" t="n"/>
      <c r="C37" s="9" t="n"/>
      <c r="D37" s="11">
        <f>IF(A37="","",IF(C37="Yes",A37&amp;" - "&amp;B37,A37))</f>
        <v/>
      </c>
      <c r="F37" s="9" t="inlineStr">
        <is>
          <t>VEG</t>
        </is>
      </c>
      <c r="G37" s="10" t="inlineStr">
        <is>
          <t>PALAK</t>
        </is>
      </c>
      <c r="H37" s="9" t="inlineStr">
        <is>
          <t>KG</t>
        </is>
      </c>
      <c r="I37" s="12" t="n"/>
      <c r="K37" s="9" t="n"/>
    </row>
    <row r="38">
      <c r="A38" s="9" t="n"/>
      <c r="B38" s="10" t="n"/>
      <c r="C38" s="9" t="n"/>
      <c r="D38" s="11">
        <f>IF(A38="","",IF(C38="Yes",A38&amp;" - "&amp;B38,A38))</f>
        <v/>
      </c>
      <c r="F38" s="9" t="inlineStr">
        <is>
          <t>VEG</t>
        </is>
      </c>
      <c r="G38" s="10" t="inlineStr">
        <is>
          <t>PUDINA</t>
        </is>
      </c>
      <c r="H38" s="9" t="inlineStr">
        <is>
          <t>KG</t>
        </is>
      </c>
      <c r="I38" s="12" t="n"/>
      <c r="K38" s="9" t="n"/>
    </row>
    <row r="39">
      <c r="A39" s="9" t="n"/>
      <c r="B39" s="10" t="n"/>
      <c r="C39" s="9" t="n"/>
      <c r="D39" s="11">
        <f>IF(A39="","",IF(C39="Yes",A39&amp;" - "&amp;B39,A39))</f>
        <v/>
      </c>
      <c r="F39" s="9" t="inlineStr">
        <is>
          <t>VEG</t>
        </is>
      </c>
      <c r="G39" s="10" t="inlineStr">
        <is>
          <t>KADI PATTA</t>
        </is>
      </c>
      <c r="H39" s="9" t="inlineStr">
        <is>
          <t>KG</t>
        </is>
      </c>
      <c r="I39" s="12" t="n"/>
      <c r="K39" s="9" t="n"/>
    </row>
    <row r="40">
      <c r="A40" s="9" t="n"/>
      <c r="B40" s="10" t="n"/>
      <c r="C40" s="9" t="n"/>
      <c r="D40" s="11">
        <f>IF(A40="","",IF(C40="Yes",A40&amp;" - "&amp;B40,A40))</f>
        <v/>
      </c>
      <c r="F40" s="9" t="inlineStr">
        <is>
          <t>VEG</t>
        </is>
      </c>
      <c r="G40" s="10" t="inlineStr">
        <is>
          <t>GREEN ONION</t>
        </is>
      </c>
      <c r="H40" s="9" t="inlineStr">
        <is>
          <t>KG</t>
        </is>
      </c>
      <c r="I40" s="12" t="n"/>
      <c r="K40" s="9" t="n"/>
    </row>
    <row r="41">
      <c r="A41" s="9" t="n"/>
      <c r="B41" s="10" t="n"/>
      <c r="C41" s="9" t="n"/>
      <c r="D41" s="11">
        <f>IF(A41="","",IF(C41="Yes",A41&amp;" - "&amp;B41,A41))</f>
        <v/>
      </c>
      <c r="F41" s="9" t="inlineStr">
        <is>
          <t>VEG</t>
        </is>
      </c>
      <c r="G41" s="10" t="inlineStr">
        <is>
          <t>KACCHA BANANA</t>
        </is>
      </c>
      <c r="H41" s="9" t="inlineStr">
        <is>
          <t>KG</t>
        </is>
      </c>
      <c r="I41" s="12" t="n"/>
    </row>
    <row r="42">
      <c r="A42" s="9" t="n"/>
      <c r="B42" s="10" t="n"/>
      <c r="C42" s="9" t="n"/>
      <c r="D42" s="11">
        <f>IF(A42="","",IF(C42="Yes",A42&amp;" - "&amp;B42,A42))</f>
        <v/>
      </c>
      <c r="F42" s="9" t="inlineStr">
        <is>
          <t>VEG</t>
        </is>
      </c>
      <c r="G42" s="10" t="inlineStr">
        <is>
          <t>RED SIMLA</t>
        </is>
      </c>
      <c r="H42" s="9" t="inlineStr">
        <is>
          <t>KG</t>
        </is>
      </c>
      <c r="I42" s="12" t="n"/>
    </row>
    <row r="43">
      <c r="A43" s="9" t="n"/>
      <c r="B43" s="10" t="n"/>
      <c r="C43" s="9" t="n"/>
      <c r="D43" s="11">
        <f>IF(A43="","",IF(C43="Yes",A43&amp;" - "&amp;B43,A43))</f>
        <v/>
      </c>
      <c r="F43" s="9" t="inlineStr">
        <is>
          <t>VEG</t>
        </is>
      </c>
      <c r="G43" s="10" t="inlineStr">
        <is>
          <t>YELLOW SIMLA</t>
        </is>
      </c>
      <c r="H43" s="9" t="inlineStr">
        <is>
          <t>KG</t>
        </is>
      </c>
      <c r="I43" s="12" t="n"/>
    </row>
    <row r="44">
      <c r="A44" s="9" t="n"/>
      <c r="B44" s="10" t="n"/>
      <c r="C44" s="9" t="n"/>
      <c r="D44" s="11">
        <f>IF(A44="","",IF(C44="Yes",A44&amp;" - "&amp;B44,A44))</f>
        <v/>
      </c>
      <c r="F44" s="9" t="inlineStr">
        <is>
          <t>VEG</t>
        </is>
      </c>
      <c r="G44" s="10" t="inlineStr">
        <is>
          <t>BROKALI</t>
        </is>
      </c>
      <c r="H44" s="9" t="inlineStr">
        <is>
          <t>KG</t>
        </is>
      </c>
      <c r="I44" s="12" t="n"/>
    </row>
    <row r="45">
      <c r="A45" s="9" t="n"/>
      <c r="B45" s="10" t="n"/>
      <c r="C45" s="9" t="n"/>
      <c r="D45" s="11">
        <f>IF(A45="","",IF(C45="Yes",A45&amp;" - "&amp;B45,A45))</f>
        <v/>
      </c>
      <c r="F45" s="9" t="inlineStr">
        <is>
          <t>VEG</t>
        </is>
      </c>
      <c r="G45" s="10" t="inlineStr">
        <is>
          <t>GREEN TEA</t>
        </is>
      </c>
      <c r="H45" s="9" t="inlineStr">
        <is>
          <t>KG</t>
        </is>
      </c>
      <c r="I45" s="12" t="n"/>
    </row>
    <row r="46">
      <c r="A46" s="9" t="n"/>
      <c r="B46" s="10" t="n"/>
      <c r="C46" s="9" t="n"/>
      <c r="D46" s="11">
        <f>IF(A46="","",IF(C46="Yes",A46&amp;" - "&amp;B46,A46))</f>
        <v/>
      </c>
      <c r="F46" s="9" t="inlineStr">
        <is>
          <t>VEG</t>
        </is>
      </c>
      <c r="G46" s="10" t="inlineStr">
        <is>
          <t>BABY CORN</t>
        </is>
      </c>
      <c r="H46" s="9" t="inlineStr">
        <is>
          <t>KG</t>
        </is>
      </c>
      <c r="I46" s="12" t="n"/>
    </row>
    <row r="47">
      <c r="A47" s="9" t="n"/>
      <c r="B47" s="10" t="n"/>
      <c r="C47" s="9" t="n"/>
      <c r="D47" s="11">
        <f>IF(A47="","",IF(C47="Yes",A47&amp;" - "&amp;B47,A47))</f>
        <v/>
      </c>
      <c r="F47" s="9" t="inlineStr">
        <is>
          <t>VEG</t>
        </is>
      </c>
      <c r="G47" s="10" t="inlineStr">
        <is>
          <t>LETTUCE</t>
        </is>
      </c>
      <c r="H47" s="9" t="inlineStr">
        <is>
          <t>KG</t>
        </is>
      </c>
      <c r="I47" s="12" t="n"/>
    </row>
    <row r="48">
      <c r="A48" s="9" t="n"/>
      <c r="B48" s="10" t="n"/>
      <c r="C48" s="9" t="n"/>
      <c r="D48" s="11">
        <f>IF(A48="","",IF(C48="Yes",A48&amp;" - "&amp;B48,A48))</f>
        <v/>
      </c>
      <c r="F48" s="9" t="inlineStr">
        <is>
          <t>VEG</t>
        </is>
      </c>
      <c r="G48" s="10" t="inlineStr">
        <is>
          <t>CELERY</t>
        </is>
      </c>
      <c r="H48" s="9" t="inlineStr">
        <is>
          <t>KG</t>
        </is>
      </c>
      <c r="I48" s="12" t="n"/>
    </row>
    <row r="49">
      <c r="A49" s="9" t="n"/>
      <c r="B49" s="10" t="n"/>
      <c r="C49" s="9" t="n"/>
      <c r="D49" s="11">
        <f>IF(A49="","",IF(C49="Yes",A49&amp;" - "&amp;B49,A49))</f>
        <v/>
      </c>
      <c r="F49" s="9" t="inlineStr">
        <is>
          <t>VEG</t>
        </is>
      </c>
      <c r="G49" s="10" t="inlineStr">
        <is>
          <t>PARSLEY</t>
        </is>
      </c>
      <c r="H49" s="9" t="inlineStr">
        <is>
          <t>KG</t>
        </is>
      </c>
      <c r="I49" s="12" t="n"/>
    </row>
    <row r="50">
      <c r="A50" s="9" t="n"/>
      <c r="B50" s="10" t="n"/>
      <c r="C50" s="9" t="n"/>
      <c r="D50" s="11">
        <f>IF(A50="","",IF(C50="Yes",A50&amp;" - "&amp;B50,A50))</f>
        <v/>
      </c>
      <c r="F50" s="9" t="inlineStr">
        <is>
          <t>VEG</t>
        </is>
      </c>
      <c r="G50" s="10" t="inlineStr">
        <is>
          <t>BASIL</t>
        </is>
      </c>
      <c r="H50" s="9" t="inlineStr">
        <is>
          <t>KG</t>
        </is>
      </c>
      <c r="I50" s="12" t="n"/>
    </row>
    <row r="51">
      <c r="A51" s="9" t="n"/>
      <c r="B51" s="10" t="n"/>
      <c r="C51" s="9" t="n"/>
      <c r="D51" s="11">
        <f>IF(A51="","",IF(C51="Yes",A51&amp;" - "&amp;B51,A51))</f>
        <v/>
      </c>
      <c r="F51" s="9" t="inlineStr">
        <is>
          <t>VEG</t>
        </is>
      </c>
      <c r="G51" s="10" t="inlineStr">
        <is>
          <t>FROZEN GARLIC</t>
        </is>
      </c>
      <c r="H51" s="9" t="inlineStr">
        <is>
          <t>KG</t>
        </is>
      </c>
      <c r="I51" s="12" t="n"/>
    </row>
    <row r="52">
      <c r="A52" s="9" t="n"/>
      <c r="B52" s="10" t="n"/>
      <c r="C52" s="9" t="n"/>
      <c r="D52" s="11">
        <f>IF(A52="","",IF(C52="Yes",A52&amp;" - "&amp;B52,A52))</f>
        <v/>
      </c>
      <c r="F52" s="9" t="inlineStr">
        <is>
          <t>VEG</t>
        </is>
      </c>
      <c r="G52" s="10" t="inlineStr">
        <is>
          <t>FROZEN MATAR</t>
        </is>
      </c>
      <c r="H52" s="9" t="inlineStr">
        <is>
          <t>KG</t>
        </is>
      </c>
      <c r="I52" s="12" t="n"/>
    </row>
    <row r="53">
      <c r="A53" s="9" t="n"/>
      <c r="B53" s="10" t="n"/>
      <c r="C53" s="9" t="n"/>
      <c r="D53" s="11">
        <f>IF(A53="","",IF(C53="Yes",A53&amp;" - "&amp;B53,A53))</f>
        <v/>
      </c>
      <c r="F53" s="9" t="inlineStr">
        <is>
          <t>VEG</t>
        </is>
      </c>
      <c r="G53" s="10" t="inlineStr">
        <is>
          <t>FROZEN CORN</t>
        </is>
      </c>
      <c r="H53" s="9" t="inlineStr">
        <is>
          <t>KG</t>
        </is>
      </c>
      <c r="I53" s="12" t="n"/>
    </row>
    <row r="54">
      <c r="A54" s="9" t="n"/>
      <c r="B54" s="10" t="n"/>
      <c r="C54" s="9" t="n"/>
      <c r="D54" s="11">
        <f>IF(A54="","",IF(C54="Yes",A54&amp;" - "&amp;B54,A54))</f>
        <v/>
      </c>
      <c r="F54" s="9" t="inlineStr">
        <is>
          <t>VEG</t>
        </is>
      </c>
      <c r="G54" s="10" t="inlineStr">
        <is>
          <t>JHUGUI</t>
        </is>
      </c>
      <c r="H54" s="9" t="inlineStr">
        <is>
          <t>KG</t>
        </is>
      </c>
      <c r="I54" s="12" t="n"/>
    </row>
    <row r="55">
      <c r="A55" s="9" t="n"/>
      <c r="B55" s="10" t="n"/>
      <c r="C55" s="9" t="n"/>
      <c r="D55" s="11">
        <f>IF(A55="","",IF(C55="Yes",A55&amp;" - "&amp;B55,A55))</f>
        <v/>
      </c>
      <c r="F55" s="9" t="inlineStr">
        <is>
          <t>FRUIT</t>
        </is>
      </c>
      <c r="G55" s="10" t="inlineStr">
        <is>
          <t>APPLE</t>
        </is>
      </c>
      <c r="H55" s="9" t="inlineStr">
        <is>
          <t>KG</t>
        </is>
      </c>
      <c r="I55" s="12" t="n"/>
    </row>
    <row r="56">
      <c r="A56" s="9" t="n"/>
      <c r="B56" s="10" t="n"/>
      <c r="C56" s="9" t="n"/>
      <c r="D56" s="11">
        <f>IF(A56="","",IF(C56="Yes",A56&amp;" - "&amp;B56,A56))</f>
        <v/>
      </c>
      <c r="F56" s="9" t="inlineStr">
        <is>
          <t>FRUIT</t>
        </is>
      </c>
      <c r="G56" s="10" t="inlineStr">
        <is>
          <t>ORANGE</t>
        </is>
      </c>
      <c r="H56" s="9" t="inlineStr">
        <is>
          <t>KG</t>
        </is>
      </c>
      <c r="I56" s="12" t="n"/>
    </row>
    <row r="57">
      <c r="A57" s="9" t="n"/>
      <c r="B57" s="10" t="n"/>
      <c r="C57" s="9" t="n"/>
      <c r="D57" s="11">
        <f>IF(A57="","",IF(C57="Yes",A57&amp;" - "&amp;B57,A57))</f>
        <v/>
      </c>
      <c r="F57" s="9" t="inlineStr">
        <is>
          <t>FRUIT</t>
        </is>
      </c>
      <c r="G57" s="10" t="inlineStr">
        <is>
          <t>GUAVA</t>
        </is>
      </c>
      <c r="H57" s="9" t="inlineStr">
        <is>
          <t>KG</t>
        </is>
      </c>
      <c r="I57" s="12" t="n"/>
    </row>
    <row r="58">
      <c r="A58" s="9" t="n"/>
      <c r="B58" s="10" t="n"/>
      <c r="C58" s="9" t="n"/>
      <c r="D58" s="11">
        <f>IF(A58="","",IF(C58="Yes",A58&amp;" - "&amp;B58,A58))</f>
        <v/>
      </c>
      <c r="F58" s="9" t="inlineStr">
        <is>
          <t>FRUIT</t>
        </is>
      </c>
      <c r="G58" s="10" t="inlineStr">
        <is>
          <t>CHIKU</t>
        </is>
      </c>
      <c r="H58" s="9" t="inlineStr">
        <is>
          <t>KG</t>
        </is>
      </c>
      <c r="I58" s="12" t="n"/>
    </row>
    <row r="59">
      <c r="A59" s="9" t="n"/>
      <c r="B59" s="10" t="n"/>
      <c r="C59" s="9" t="n"/>
      <c r="D59" s="11">
        <f>IF(A59="","",IF(C59="Yes",A59&amp;" - "&amp;B59,A59))</f>
        <v/>
      </c>
      <c r="F59" s="9" t="inlineStr">
        <is>
          <t>FRUIT</t>
        </is>
      </c>
      <c r="G59" s="10" t="inlineStr">
        <is>
          <t>BANANA</t>
        </is>
      </c>
      <c r="H59" s="9" t="inlineStr">
        <is>
          <t>KG</t>
        </is>
      </c>
      <c r="I59" s="12" t="n"/>
    </row>
    <row r="60">
      <c r="A60" s="9" t="n"/>
      <c r="B60" s="10" t="n"/>
      <c r="C60" s="9" t="n"/>
      <c r="D60" s="11">
        <f>IF(A60="","",IF(C60="Yes",A60&amp;" - "&amp;B60,A60))</f>
        <v/>
      </c>
      <c r="F60" s="9" t="inlineStr">
        <is>
          <t>FRUIT</t>
        </is>
      </c>
      <c r="G60" s="10" t="inlineStr">
        <is>
          <t>PLUMS</t>
        </is>
      </c>
      <c r="H60" s="9" t="inlineStr">
        <is>
          <t>KG</t>
        </is>
      </c>
      <c r="I60" s="12" t="n"/>
    </row>
    <row r="61">
      <c r="A61" s="9" t="n"/>
      <c r="B61" s="10" t="n"/>
      <c r="C61" s="9" t="n"/>
      <c r="D61" s="11">
        <f>IF(A61="","",IF(C61="Yes",A61&amp;" - "&amp;B61,A61))</f>
        <v/>
      </c>
      <c r="F61" s="9" t="inlineStr">
        <is>
          <t>FRUIT</t>
        </is>
      </c>
      <c r="G61" s="10" t="inlineStr">
        <is>
          <t>POME GRANATE</t>
        </is>
      </c>
      <c r="H61" s="9" t="inlineStr">
        <is>
          <t>KG</t>
        </is>
      </c>
      <c r="I61" s="12" t="n"/>
    </row>
    <row r="62">
      <c r="A62" s="9" t="n"/>
      <c r="B62" s="10" t="n"/>
      <c r="C62" s="9" t="n"/>
      <c r="D62" s="11">
        <f>IF(A62="","",IF(C62="Yes",A62&amp;" - "&amp;B62,A62))</f>
        <v/>
      </c>
      <c r="F62" s="9" t="inlineStr">
        <is>
          <t>FRUIT</t>
        </is>
      </c>
      <c r="G62" s="10" t="inlineStr">
        <is>
          <t>GRAPS</t>
        </is>
      </c>
      <c r="H62" s="9" t="inlineStr">
        <is>
          <t>KG</t>
        </is>
      </c>
      <c r="I62" s="12" t="n"/>
    </row>
    <row r="63">
      <c r="A63" s="9" t="n"/>
      <c r="B63" s="10" t="n"/>
      <c r="C63" s="9" t="n"/>
      <c r="D63" s="11">
        <f>IF(A63="","",IF(C63="Yes",A63&amp;" - "&amp;B63,A63))</f>
        <v/>
      </c>
      <c r="F63" s="9" t="inlineStr">
        <is>
          <t>FRUIT</t>
        </is>
      </c>
      <c r="G63" s="10" t="inlineStr">
        <is>
          <t>WATER MELON</t>
        </is>
      </c>
      <c r="H63" s="9" t="inlineStr">
        <is>
          <t>PCS</t>
        </is>
      </c>
      <c r="I63" s="12" t="n"/>
    </row>
    <row r="64">
      <c r="A64" s="9" t="n"/>
      <c r="B64" s="10" t="n"/>
      <c r="C64" s="9" t="n"/>
      <c r="D64" s="11">
        <f>IF(A64="","",IF(C64="Yes",A64&amp;" - "&amp;B64,A64))</f>
        <v/>
      </c>
      <c r="F64" s="9" t="inlineStr">
        <is>
          <t>FRUIT</t>
        </is>
      </c>
      <c r="G64" s="10" t="inlineStr">
        <is>
          <t>PAPAYA</t>
        </is>
      </c>
      <c r="H64" s="9" t="inlineStr">
        <is>
          <t>PCS</t>
        </is>
      </c>
      <c r="I64" s="12" t="n"/>
    </row>
    <row r="65">
      <c r="A65" s="9" t="n"/>
      <c r="B65" s="10" t="n"/>
      <c r="C65" s="9" t="n"/>
      <c r="D65" s="11">
        <f>IF(A65="","",IF(C65="Yes",A65&amp;" - "&amp;B65,A65))</f>
        <v/>
      </c>
      <c r="F65" s="9" t="inlineStr">
        <is>
          <t>FRUIT</t>
        </is>
      </c>
      <c r="G65" s="10" t="inlineStr">
        <is>
          <t>MOSAMBI</t>
        </is>
      </c>
      <c r="H65" s="9" t="inlineStr">
        <is>
          <t>KG</t>
        </is>
      </c>
      <c r="I65" s="12" t="n"/>
    </row>
    <row r="66">
      <c r="A66" s="9" t="n"/>
      <c r="B66" s="10" t="n"/>
      <c r="C66" s="9" t="n"/>
      <c r="D66" s="11">
        <f>IF(A66="","",IF(C66="Yes",A66&amp;" - "&amp;B66,A66))</f>
        <v/>
      </c>
      <c r="F66" s="9" t="inlineStr">
        <is>
          <t>FRUIT</t>
        </is>
      </c>
      <c r="G66" s="10" t="inlineStr">
        <is>
          <t>MUSK MELON</t>
        </is>
      </c>
      <c r="H66" s="9" t="inlineStr">
        <is>
          <t>KG</t>
        </is>
      </c>
      <c r="I66" s="12" t="n"/>
    </row>
    <row r="67">
      <c r="A67" s="9" t="n"/>
      <c r="B67" s="10" t="n"/>
      <c r="C67" s="9" t="n"/>
      <c r="D67" s="11">
        <f>IF(A67="","",IF(C67="Yes",A67&amp;" - "&amp;B67,A67))</f>
        <v/>
      </c>
      <c r="F67" s="9" t="inlineStr">
        <is>
          <t>FRUIT</t>
        </is>
      </c>
      <c r="G67" s="10" t="inlineStr">
        <is>
          <t>MANGO / STRAWBERRY</t>
        </is>
      </c>
      <c r="H67" s="9" t="inlineStr">
        <is>
          <t>KG</t>
        </is>
      </c>
      <c r="I67" s="12" t="n"/>
    </row>
    <row r="68">
      <c r="A68" s="9" t="n"/>
      <c r="B68" s="10" t="n"/>
      <c r="C68" s="9" t="n"/>
      <c r="D68" s="11">
        <f>IF(A68="","",IF(C68="Yes",A68&amp;" - "&amp;B68,A68))</f>
        <v/>
      </c>
      <c r="F68" s="9" t="inlineStr">
        <is>
          <t>FRUIT</t>
        </is>
      </c>
      <c r="G68" s="10" t="inlineStr">
        <is>
          <t>PINEAPPLE</t>
        </is>
      </c>
      <c r="H68" s="9" t="inlineStr">
        <is>
          <t>PCS</t>
        </is>
      </c>
      <c r="I68" s="12" t="n"/>
    </row>
    <row r="69">
      <c r="A69" s="9" t="n"/>
      <c r="B69" s="10" t="n"/>
      <c r="C69" s="9" t="n"/>
      <c r="D69" s="11">
        <f>IF(A69="","",IF(C69="Yes",A69&amp;" - "&amp;B69,A69))</f>
        <v/>
      </c>
      <c r="F69" s="9" t="inlineStr">
        <is>
          <t>FRUIT</t>
        </is>
      </c>
      <c r="G69" s="10" t="inlineStr">
        <is>
          <t>NARIYAL PANI</t>
        </is>
      </c>
      <c r="H69" s="9" t="inlineStr">
        <is>
          <t>PCS</t>
        </is>
      </c>
      <c r="I69" s="12" t="n"/>
    </row>
    <row r="70">
      <c r="A70" s="9" t="n"/>
      <c r="B70" s="10" t="n"/>
      <c r="C70" s="9" t="n"/>
      <c r="D70" s="11">
        <f>IF(A70="","",IF(C70="Yes",A70&amp;" - "&amp;B70,A70))</f>
        <v/>
      </c>
      <c r="F70" s="9" t="inlineStr">
        <is>
          <t>OTHER</t>
        </is>
      </c>
      <c r="G70" s="10" t="inlineStr">
        <is>
          <t>PANIPURI</t>
        </is>
      </c>
      <c r="H70" s="9" t="inlineStr">
        <is>
          <t>PCS</t>
        </is>
      </c>
      <c r="I70" s="12" t="n"/>
    </row>
    <row r="71">
      <c r="A71" s="9" t="n"/>
      <c r="B71" s="10" t="n"/>
      <c r="C71" s="9" t="n"/>
      <c r="D71" s="11">
        <f>IF(A71="","",IF(C71="Yes",A71&amp;" - "&amp;B71,A71))</f>
        <v/>
      </c>
      <c r="F71" s="9" t="inlineStr">
        <is>
          <t>OTHER</t>
        </is>
      </c>
      <c r="G71" s="10" t="inlineStr">
        <is>
          <t>COLD DRINK</t>
        </is>
      </c>
      <c r="H71" s="9" t="inlineStr">
        <is>
          <t>PCS</t>
        </is>
      </c>
      <c r="I71" s="12" t="n"/>
    </row>
    <row r="72">
      <c r="A72" s="9" t="n"/>
      <c r="B72" s="10" t="n"/>
      <c r="C72" s="9" t="n"/>
      <c r="D72" s="11">
        <f>IF(A72="","",IF(C72="Yes",A72&amp;" - "&amp;B72,A72))</f>
        <v/>
      </c>
      <c r="F72" s="9" t="inlineStr">
        <is>
          <t>OTHER</t>
        </is>
      </c>
      <c r="G72" s="10" t="inlineStr">
        <is>
          <t>BUTTER</t>
        </is>
      </c>
      <c r="H72" s="9" t="inlineStr">
        <is>
          <t>PCS</t>
        </is>
      </c>
      <c r="I72" s="12" t="n"/>
    </row>
    <row r="73">
      <c r="A73" s="9" t="n"/>
      <c r="B73" s="10" t="n"/>
      <c r="C73" s="9" t="n"/>
      <c r="D73" s="11">
        <f>IF(A73="","",IF(C73="Yes",A73&amp;" - "&amp;B73,A73))</f>
        <v/>
      </c>
      <c r="F73" s="9" t="inlineStr">
        <is>
          <t>OTHER</t>
        </is>
      </c>
      <c r="G73" s="10" t="inlineStr">
        <is>
          <t>CHEESE</t>
        </is>
      </c>
      <c r="H73" s="9" t="inlineStr">
        <is>
          <t>PCS</t>
        </is>
      </c>
      <c r="I73" s="12" t="n"/>
    </row>
    <row r="74">
      <c r="A74" s="9" t="n"/>
      <c r="B74" s="10" t="n"/>
      <c r="C74" s="9" t="n"/>
      <c r="D74" s="11">
        <f>IF(A74="","",IF(C74="Yes",A74&amp;" - "&amp;B74,A74))</f>
        <v/>
      </c>
      <c r="F74" s="9" t="inlineStr">
        <is>
          <t>OTHER</t>
        </is>
      </c>
      <c r="G74" s="10" t="inlineStr">
        <is>
          <t>PANEER</t>
        </is>
      </c>
      <c r="H74" s="9" t="inlineStr">
        <is>
          <t>PCS</t>
        </is>
      </c>
      <c r="I74" s="12" t="n"/>
    </row>
    <row r="75">
      <c r="A75" s="9" t="n"/>
      <c r="B75" s="10" t="n"/>
      <c r="C75" s="9" t="n"/>
      <c r="D75" s="11">
        <f>IF(A75="","",IF(C75="Yes",A75&amp;" - "&amp;B75,A75))</f>
        <v/>
      </c>
      <c r="F75" s="9" t="inlineStr">
        <is>
          <t>OTHER</t>
        </is>
      </c>
      <c r="G75" s="10" t="inlineStr">
        <is>
          <t>BRADE</t>
        </is>
      </c>
      <c r="H75" s="9" t="inlineStr">
        <is>
          <t>PCS</t>
        </is>
      </c>
      <c r="I75" s="12" t="n"/>
    </row>
    <row r="76">
      <c r="A76" s="9" t="n"/>
      <c r="B76" s="10" t="n"/>
      <c r="C76" s="9" t="n"/>
      <c r="D76" s="11">
        <f>IF(A76="","",IF(C76="Yes",A76&amp;" - "&amp;B76,A76))</f>
        <v/>
      </c>
      <c r="F76" s="9" t="inlineStr">
        <is>
          <t>OTHER</t>
        </is>
      </c>
      <c r="G76" s="10" t="inlineStr">
        <is>
          <t>PAV BHAJI / DABELI PAV</t>
        </is>
      </c>
      <c r="H76" s="9" t="inlineStr">
        <is>
          <t>PCS</t>
        </is>
      </c>
      <c r="I76" s="12" t="n"/>
    </row>
    <row r="77">
      <c r="A77" s="9" t="n"/>
      <c r="B77" s="10" t="n"/>
      <c r="C77" s="9" t="n"/>
      <c r="D77" s="11">
        <f>IF(A77="","",IF(C77="Yes",A77&amp;" - "&amp;B77,A77))</f>
        <v/>
      </c>
      <c r="F77" s="9" t="n"/>
      <c r="G77" s="10" t="n"/>
      <c r="H77" s="9" t="n"/>
      <c r="I77" s="12" t="n"/>
    </row>
    <row r="78">
      <c r="A78" s="9" t="n"/>
      <c r="B78" s="10" t="n"/>
      <c r="C78" s="9" t="n"/>
      <c r="D78" s="11">
        <f>IF(A78="","",IF(C78="Yes",A78&amp;" - "&amp;B78,A78))</f>
        <v/>
      </c>
      <c r="F78" s="9" t="n"/>
      <c r="G78" s="10" t="n"/>
      <c r="H78" s="9" t="n"/>
      <c r="I78" s="12" t="n"/>
    </row>
    <row r="79">
      <c r="A79" s="9" t="n"/>
      <c r="B79" s="10" t="n"/>
      <c r="C79" s="9" t="n"/>
      <c r="D79" s="11">
        <f>IF(A79="","",IF(C79="Yes",A79&amp;" - "&amp;B79,A79))</f>
        <v/>
      </c>
      <c r="F79" s="9" t="n"/>
      <c r="G79" s="10" t="n"/>
      <c r="H79" s="9" t="n"/>
      <c r="I79" s="12" t="n"/>
    </row>
    <row r="80">
      <c r="A80" s="9" t="n"/>
      <c r="B80" s="10" t="n"/>
      <c r="C80" s="9" t="n"/>
      <c r="D80" s="11">
        <f>IF(A80="","",IF(C80="Yes",A80&amp;" - "&amp;B80,A80))</f>
        <v/>
      </c>
      <c r="F80" s="9" t="n"/>
      <c r="G80" s="10" t="n"/>
      <c r="H80" s="9" t="n"/>
      <c r="I80" s="12" t="n"/>
    </row>
    <row r="81">
      <c r="A81" s="9" t="n"/>
      <c r="B81" s="10" t="n"/>
      <c r="C81" s="9" t="n"/>
      <c r="D81" s="11">
        <f>IF(A81="","",IF(C81="Yes",A81&amp;" - "&amp;B81,A81))</f>
        <v/>
      </c>
      <c r="F81" s="9" t="n"/>
      <c r="G81" s="10" t="n"/>
      <c r="H81" s="9" t="n"/>
      <c r="I81" s="12" t="n"/>
    </row>
    <row r="82">
      <c r="A82" s="9" t="n"/>
      <c r="B82" s="10" t="n"/>
      <c r="C82" s="9" t="n"/>
      <c r="D82" s="11">
        <f>IF(A82="","",IF(C82="Yes",A82&amp;" - "&amp;B82,A82))</f>
        <v/>
      </c>
      <c r="F82" s="9" t="n"/>
      <c r="G82" s="10" t="n"/>
      <c r="H82" s="9" t="n"/>
      <c r="I82" s="12" t="n"/>
    </row>
    <row r="83">
      <c r="A83" s="9" t="n"/>
      <c r="B83" s="10" t="n"/>
      <c r="C83" s="9" t="n"/>
      <c r="D83" s="11">
        <f>IF(A83="","",IF(C83="Yes",A83&amp;" - "&amp;B83,A83))</f>
        <v/>
      </c>
      <c r="F83" s="9" t="n"/>
      <c r="G83" s="10" t="n"/>
      <c r="H83" s="9" t="n"/>
      <c r="I83" s="12" t="n"/>
    </row>
    <row r="84">
      <c r="A84" s="9" t="n"/>
      <c r="B84" s="10" t="n"/>
      <c r="C84" s="9" t="n"/>
      <c r="D84" s="11">
        <f>IF(A84="","",IF(C84="Yes",A84&amp;" - "&amp;B84,A84))</f>
        <v/>
      </c>
      <c r="F84" s="9" t="n"/>
      <c r="G84" s="10" t="n"/>
      <c r="H84" s="9" t="n"/>
      <c r="I84" s="12" t="n"/>
    </row>
    <row r="85">
      <c r="A85" s="9" t="n"/>
      <c r="B85" s="10" t="n"/>
      <c r="C85" s="9" t="n"/>
      <c r="D85" s="11">
        <f>IF(A85="","",IF(C85="Yes",A85&amp;" - "&amp;B85,A85))</f>
        <v/>
      </c>
      <c r="F85" s="9" t="n"/>
      <c r="G85" s="10" t="n"/>
      <c r="H85" s="9" t="n"/>
      <c r="I85" s="12" t="n"/>
    </row>
    <row r="86">
      <c r="A86" s="9" t="n"/>
      <c r="B86" s="10" t="n"/>
      <c r="C86" s="9" t="n"/>
      <c r="D86" s="11">
        <f>IF(A86="","",IF(C86="Yes",A86&amp;" - "&amp;B86,A86))</f>
        <v/>
      </c>
      <c r="F86" s="9" t="n"/>
      <c r="G86" s="10" t="n"/>
      <c r="H86" s="9" t="n"/>
      <c r="I86" s="12" t="n"/>
    </row>
    <row r="87">
      <c r="A87" s="9" t="n"/>
      <c r="B87" s="10" t="n"/>
      <c r="C87" s="9" t="n"/>
      <c r="D87" s="11">
        <f>IF(A87="","",IF(C87="Yes",A87&amp;" - "&amp;B87,A87))</f>
        <v/>
      </c>
      <c r="F87" s="9" t="n"/>
      <c r="G87" s="10" t="n"/>
      <c r="H87" s="9" t="n"/>
      <c r="I87" s="12" t="n"/>
    </row>
    <row r="88">
      <c r="A88" s="9" t="n"/>
      <c r="B88" s="10" t="n"/>
      <c r="C88" s="9" t="n"/>
      <c r="D88" s="11">
        <f>IF(A88="","",IF(C88="Yes",A88&amp;" - "&amp;B88,A88))</f>
        <v/>
      </c>
      <c r="F88" s="9" t="n"/>
      <c r="G88" s="10" t="n"/>
      <c r="H88" s="9" t="n"/>
      <c r="I88" s="12" t="n"/>
    </row>
    <row r="89">
      <c r="A89" s="9" t="n"/>
      <c r="B89" s="10" t="n"/>
      <c r="C89" s="9" t="n"/>
      <c r="D89" s="11">
        <f>IF(A89="","",IF(C89="Yes",A89&amp;" - "&amp;B89,A89))</f>
        <v/>
      </c>
      <c r="F89" s="9" t="n"/>
      <c r="G89" s="10" t="n"/>
      <c r="H89" s="9" t="n"/>
      <c r="I89" s="12" t="n"/>
    </row>
    <row r="90">
      <c r="A90" s="9" t="n"/>
      <c r="B90" s="10" t="n"/>
      <c r="C90" s="9" t="n"/>
      <c r="D90" s="11">
        <f>IF(A90="","",IF(C90="Yes",A90&amp;" - "&amp;B90,A90))</f>
        <v/>
      </c>
      <c r="F90" s="9" t="n"/>
      <c r="G90" s="10" t="n"/>
      <c r="H90" s="9" t="n"/>
      <c r="I90" s="12" t="n"/>
    </row>
    <row r="91">
      <c r="A91" s="9" t="n"/>
      <c r="B91" s="10" t="n"/>
      <c r="C91" s="9" t="n"/>
      <c r="D91" s="11">
        <f>IF(A91="","",IF(C91="Yes",A91&amp;" - "&amp;B91,A91))</f>
        <v/>
      </c>
      <c r="F91" s="9" t="n"/>
      <c r="G91" s="10" t="n"/>
      <c r="H91" s="9" t="n"/>
      <c r="I91" s="12" t="n"/>
    </row>
    <row r="92">
      <c r="A92" s="9" t="n"/>
      <c r="B92" s="10" t="n"/>
      <c r="C92" s="9" t="n"/>
      <c r="D92" s="11">
        <f>IF(A92="","",IF(C92="Yes",A92&amp;" - "&amp;B92,A92))</f>
        <v/>
      </c>
      <c r="F92" s="9" t="n"/>
      <c r="G92" s="10" t="n"/>
      <c r="H92" s="9" t="n"/>
      <c r="I92" s="12" t="n"/>
    </row>
    <row r="93">
      <c r="A93" s="9" t="n"/>
      <c r="B93" s="10" t="n"/>
      <c r="C93" s="9" t="n"/>
      <c r="D93" s="11">
        <f>IF(A93="","",IF(C93="Yes",A93&amp;" - "&amp;B93,A93))</f>
        <v/>
      </c>
      <c r="F93" s="9" t="n"/>
      <c r="G93" s="10" t="n"/>
      <c r="H93" s="9" t="n"/>
      <c r="I93" s="12" t="n"/>
    </row>
    <row r="94">
      <c r="A94" s="9" t="n"/>
      <c r="B94" s="10" t="n"/>
      <c r="C94" s="9" t="n"/>
      <c r="D94" s="11">
        <f>IF(A94="","",IF(C94="Yes",A94&amp;" - "&amp;B94,A94))</f>
        <v/>
      </c>
      <c r="F94" s="9" t="n"/>
      <c r="G94" s="10" t="n"/>
      <c r="H94" s="9" t="n"/>
      <c r="I94" s="12" t="n"/>
    </row>
    <row r="95">
      <c r="A95" s="9" t="n"/>
      <c r="B95" s="10" t="n"/>
      <c r="C95" s="9" t="n"/>
      <c r="D95" s="11">
        <f>IF(A95="","",IF(C95="Yes",A95&amp;" - "&amp;B95,A95))</f>
        <v/>
      </c>
      <c r="F95" s="9" t="n"/>
      <c r="G95" s="10" t="n"/>
      <c r="H95" s="9" t="n"/>
      <c r="I95" s="12" t="n"/>
    </row>
    <row r="96">
      <c r="A96" s="9" t="n"/>
      <c r="B96" s="10" t="n"/>
      <c r="C96" s="9" t="n"/>
      <c r="D96" s="11">
        <f>IF(A96="","",IF(C96="Yes",A96&amp;" - "&amp;B96,A96))</f>
        <v/>
      </c>
      <c r="F96" s="9" t="n"/>
      <c r="G96" s="10" t="n"/>
      <c r="H96" s="9" t="n"/>
      <c r="I96" s="12" t="n"/>
    </row>
    <row r="97">
      <c r="A97" s="9" t="n"/>
      <c r="B97" s="10" t="n"/>
      <c r="C97" s="9" t="n"/>
      <c r="D97" s="11">
        <f>IF(A97="","",IF(C97="Yes",A97&amp;" - "&amp;B97,A97))</f>
        <v/>
      </c>
      <c r="F97" s="9" t="n"/>
      <c r="G97" s="10" t="n"/>
      <c r="H97" s="9" t="n"/>
      <c r="I97" s="12" t="n"/>
    </row>
    <row r="98">
      <c r="A98" s="9" t="n"/>
      <c r="B98" s="10" t="n"/>
      <c r="C98" s="9" t="n"/>
      <c r="D98" s="11">
        <f>IF(A98="","",IF(C98="Yes",A98&amp;" - "&amp;B98,A98))</f>
        <v/>
      </c>
      <c r="F98" s="9" t="n"/>
      <c r="G98" s="10" t="n"/>
      <c r="H98" s="9" t="n"/>
      <c r="I98" s="12" t="n"/>
    </row>
    <row r="99">
      <c r="A99" s="9" t="n"/>
      <c r="B99" s="10" t="n"/>
      <c r="C99" s="9" t="n"/>
      <c r="D99" s="11">
        <f>IF(A99="","",IF(C99="Yes",A99&amp;" - "&amp;B99,A99))</f>
        <v/>
      </c>
      <c r="F99" s="9" t="n"/>
      <c r="G99" s="10" t="n"/>
      <c r="H99" s="9" t="n"/>
      <c r="I99" s="12" t="n"/>
    </row>
    <row r="100">
      <c r="A100" s="9" t="n"/>
      <c r="B100" s="10" t="n"/>
      <c r="C100" s="9" t="n"/>
      <c r="D100" s="11">
        <f>IF(A100="","",IF(C100="Yes",A100&amp;" - "&amp;B100,A100))</f>
        <v/>
      </c>
      <c r="F100" s="9" t="n"/>
      <c r="G100" s="10" t="n"/>
      <c r="H100" s="9" t="n"/>
      <c r="I100" s="12" t="n"/>
    </row>
    <row r="101">
      <c r="F101" s="9" t="n"/>
      <c r="G101" s="10" t="n"/>
      <c r="H101" s="9" t="n"/>
      <c r="I101" s="12" t="n"/>
    </row>
    <row r="102">
      <c r="F102" s="9" t="n"/>
      <c r="G102" s="10" t="n"/>
      <c r="H102" s="9" t="n"/>
      <c r="I102" s="12" t="n"/>
    </row>
    <row r="103">
      <c r="F103" s="9" t="n"/>
      <c r="G103" s="10" t="n"/>
      <c r="H103" s="9" t="n"/>
      <c r="I103" s="12" t="n"/>
    </row>
    <row r="104">
      <c r="F104" s="9" t="n"/>
      <c r="G104" s="10" t="n"/>
      <c r="H104" s="9" t="n"/>
      <c r="I104" s="12" t="n"/>
    </row>
    <row r="105">
      <c r="F105" s="9" t="n"/>
      <c r="G105" s="10" t="n"/>
      <c r="H105" s="9" t="n"/>
      <c r="I105" s="12" t="n"/>
    </row>
    <row r="106">
      <c r="F106" s="9" t="n"/>
      <c r="G106" s="10" t="n"/>
      <c r="H106" s="9" t="n"/>
      <c r="I106" s="12" t="n"/>
    </row>
    <row r="107">
      <c r="F107" s="9" t="n"/>
      <c r="G107" s="10" t="n"/>
      <c r="H107" s="9" t="n"/>
      <c r="I107" s="12" t="n"/>
    </row>
    <row r="108">
      <c r="F108" s="9" t="n"/>
      <c r="G108" s="10" t="n"/>
      <c r="H108" s="9" t="n"/>
      <c r="I108" s="12" t="n"/>
    </row>
    <row r="109">
      <c r="F109" s="9" t="n"/>
      <c r="G109" s="10" t="n"/>
      <c r="H109" s="9" t="n"/>
      <c r="I109" s="12" t="n"/>
    </row>
    <row r="110">
      <c r="F110" s="9" t="n"/>
      <c r="G110" s="10" t="n"/>
      <c r="H110" s="9" t="n"/>
      <c r="I110" s="12" t="n"/>
    </row>
    <row r="111">
      <c r="F111" s="9" t="n"/>
      <c r="G111" s="10" t="n"/>
      <c r="H111" s="9" t="n"/>
      <c r="I111" s="12" t="n"/>
    </row>
    <row r="112">
      <c r="F112" s="9" t="n"/>
      <c r="G112" s="10" t="n"/>
      <c r="H112" s="9" t="n"/>
      <c r="I112" s="12" t="n"/>
    </row>
    <row r="113">
      <c r="F113" s="9" t="n"/>
      <c r="G113" s="10" t="n"/>
      <c r="H113" s="9" t="n"/>
      <c r="I113" s="12" t="n"/>
    </row>
    <row r="114">
      <c r="F114" s="9" t="n"/>
      <c r="G114" s="10" t="n"/>
      <c r="H114" s="9" t="n"/>
      <c r="I114" s="12" t="n"/>
    </row>
    <row r="115">
      <c r="F115" s="9" t="n"/>
      <c r="G115" s="10" t="n"/>
      <c r="H115" s="9" t="n"/>
      <c r="I115" s="12" t="n"/>
    </row>
    <row r="116">
      <c r="F116" s="9" t="n"/>
      <c r="G116" s="10" t="n"/>
      <c r="H116" s="9" t="n"/>
      <c r="I116" s="12" t="n"/>
    </row>
    <row r="117">
      <c r="F117" s="9" t="n"/>
      <c r="G117" s="10" t="n"/>
      <c r="H117" s="9" t="n"/>
      <c r="I117" s="12" t="n"/>
    </row>
    <row r="118">
      <c r="F118" s="9" t="n"/>
      <c r="G118" s="10" t="n"/>
      <c r="H118" s="9" t="n"/>
      <c r="I118" s="12" t="n"/>
    </row>
    <row r="119">
      <c r="F119" s="9" t="n"/>
      <c r="G119" s="10" t="n"/>
      <c r="H119" s="9" t="n"/>
      <c r="I119" s="12" t="n"/>
    </row>
    <row r="120">
      <c r="F120" s="9" t="n"/>
      <c r="G120" s="10" t="n"/>
      <c r="H120" s="9" t="n"/>
      <c r="I120" s="12" t="n"/>
    </row>
    <row r="121">
      <c r="F121" s="9" t="n"/>
      <c r="G121" s="10" t="n"/>
      <c r="H121" s="9" t="n"/>
      <c r="I121" s="12" t="n"/>
    </row>
    <row r="122">
      <c r="F122" s="9" t="n"/>
      <c r="G122" s="10" t="n"/>
      <c r="H122" s="9" t="n"/>
      <c r="I122" s="12" t="n"/>
    </row>
    <row r="123">
      <c r="F123" s="9" t="n"/>
      <c r="G123" s="10" t="n"/>
      <c r="H123" s="9" t="n"/>
      <c r="I123" s="12" t="n"/>
    </row>
    <row r="124">
      <c r="F124" s="9" t="n"/>
      <c r="G124" s="10" t="n"/>
      <c r="H124" s="9" t="n"/>
      <c r="I124" s="12" t="n"/>
    </row>
    <row r="125">
      <c r="F125" s="9" t="n"/>
      <c r="G125" s="10" t="n"/>
      <c r="H125" s="9" t="n"/>
      <c r="I125" s="12" t="n"/>
    </row>
    <row r="126">
      <c r="F126" s="9" t="n"/>
      <c r="G126" s="10" t="n"/>
      <c r="H126" s="9" t="n"/>
      <c r="I126" s="12" t="n"/>
    </row>
    <row r="127">
      <c r="F127" s="9" t="n"/>
      <c r="G127" s="10" t="n"/>
      <c r="H127" s="9" t="n"/>
      <c r="I127" s="12" t="n"/>
    </row>
    <row r="128">
      <c r="F128" s="9" t="n"/>
      <c r="G128" s="10" t="n"/>
      <c r="H128" s="9" t="n"/>
      <c r="I128" s="12" t="n"/>
    </row>
    <row r="129">
      <c r="F129" s="9" t="n"/>
      <c r="G129" s="10" t="n"/>
      <c r="H129" s="9" t="n"/>
      <c r="I129" s="12" t="n"/>
    </row>
    <row r="130">
      <c r="F130" s="9" t="n"/>
      <c r="G130" s="10" t="n"/>
      <c r="H130" s="9" t="n"/>
      <c r="I130" s="12" t="n"/>
    </row>
    <row r="131">
      <c r="F131" s="9" t="n"/>
      <c r="G131" s="10" t="n"/>
      <c r="H131" s="9" t="n"/>
      <c r="I131" s="12" t="n"/>
    </row>
    <row r="132">
      <c r="F132" s="9" t="n"/>
      <c r="G132" s="10" t="n"/>
      <c r="H132" s="9" t="n"/>
      <c r="I132" s="12" t="n"/>
    </row>
    <row r="133">
      <c r="F133" s="9" t="n"/>
      <c r="G133" s="10" t="n"/>
      <c r="H133" s="9" t="n"/>
      <c r="I133" s="12" t="n"/>
    </row>
    <row r="134">
      <c r="F134" s="9" t="n"/>
      <c r="G134" s="10" t="n"/>
      <c r="H134" s="9" t="n"/>
      <c r="I134" s="12" t="n"/>
    </row>
    <row r="135">
      <c r="F135" s="9" t="n"/>
      <c r="G135" s="10" t="n"/>
      <c r="H135" s="9" t="n"/>
      <c r="I135" s="12" t="n"/>
    </row>
    <row r="136">
      <c r="F136" s="9" t="n"/>
      <c r="G136" s="10" t="n"/>
      <c r="H136" s="9" t="n"/>
      <c r="I136" s="12" t="n"/>
    </row>
    <row r="137">
      <c r="F137" s="9" t="n"/>
      <c r="G137" s="10" t="n"/>
      <c r="H137" s="9" t="n"/>
      <c r="I137" s="12" t="n"/>
    </row>
    <row r="138">
      <c r="F138" s="9" t="n"/>
      <c r="G138" s="10" t="n"/>
      <c r="H138" s="9" t="n"/>
      <c r="I138" s="12" t="n"/>
    </row>
    <row r="139">
      <c r="F139" s="9" t="n"/>
      <c r="G139" s="10" t="n"/>
      <c r="H139" s="9" t="n"/>
      <c r="I139" s="12" t="n"/>
    </row>
    <row r="140">
      <c r="F140" s="9" t="n"/>
      <c r="G140" s="10" t="n"/>
      <c r="H140" s="9" t="n"/>
      <c r="I140" s="12" t="n"/>
    </row>
    <row r="141">
      <c r="F141" s="9" t="n"/>
      <c r="G141" s="10" t="n"/>
      <c r="H141" s="9" t="n"/>
      <c r="I141" s="12" t="n"/>
    </row>
    <row r="142">
      <c r="F142" s="9" t="n"/>
      <c r="G142" s="10" t="n"/>
      <c r="H142" s="9" t="n"/>
      <c r="I142" s="12" t="n"/>
    </row>
    <row r="143">
      <c r="F143" s="9" t="n"/>
      <c r="G143" s="10" t="n"/>
      <c r="H143" s="9" t="n"/>
      <c r="I143" s="12" t="n"/>
    </row>
    <row r="144">
      <c r="F144" s="9" t="n"/>
      <c r="G144" s="10" t="n"/>
      <c r="H144" s="9" t="n"/>
      <c r="I144" s="12" t="n"/>
    </row>
    <row r="145">
      <c r="F145" s="9" t="n"/>
      <c r="G145" s="10" t="n"/>
      <c r="H145" s="9" t="n"/>
      <c r="I145" s="12" t="n"/>
    </row>
    <row r="146">
      <c r="F146" s="9" t="n"/>
      <c r="G146" s="10" t="n"/>
      <c r="H146" s="9" t="n"/>
      <c r="I146" s="12" t="n"/>
    </row>
    <row r="147">
      <c r="F147" s="9" t="n"/>
      <c r="G147" s="10" t="n"/>
      <c r="H147" s="9" t="n"/>
      <c r="I147" s="12" t="n"/>
    </row>
    <row r="148">
      <c r="F148" s="9" t="n"/>
      <c r="G148" s="10" t="n"/>
      <c r="H148" s="9" t="n"/>
      <c r="I148" s="12" t="n"/>
    </row>
    <row r="149">
      <c r="F149" s="9" t="n"/>
      <c r="G149" s="10" t="n"/>
      <c r="H149" s="9" t="n"/>
      <c r="I149" s="12" t="n"/>
    </row>
    <row r="150">
      <c r="F150" s="9" t="n"/>
      <c r="G150" s="10" t="n"/>
      <c r="H150" s="9" t="n"/>
      <c r="I150" s="12" t="n"/>
    </row>
    <row r="151">
      <c r="F151" s="9" t="n"/>
      <c r="G151" s="10" t="n"/>
      <c r="H151" s="9" t="n"/>
      <c r="I151" s="12" t="n"/>
    </row>
    <row r="152">
      <c r="F152" s="9" t="n"/>
      <c r="G152" s="10" t="n"/>
      <c r="H152" s="9" t="n"/>
      <c r="I152" s="12" t="n"/>
    </row>
    <row r="153">
      <c r="F153" s="9" t="n"/>
      <c r="G153" s="10" t="n"/>
      <c r="H153" s="9" t="n"/>
      <c r="I153" s="12" t="n"/>
    </row>
    <row r="154">
      <c r="F154" s="9" t="n"/>
      <c r="G154" s="10" t="n"/>
      <c r="H154" s="9" t="n"/>
      <c r="I154" s="12" t="n"/>
    </row>
    <row r="155">
      <c r="F155" s="9" t="n"/>
      <c r="G155" s="10" t="n"/>
      <c r="H155" s="9" t="n"/>
      <c r="I155" s="12" t="n"/>
    </row>
    <row r="156">
      <c r="F156" s="9" t="n"/>
      <c r="G156" s="10" t="n"/>
      <c r="H156" s="9" t="n"/>
      <c r="I156" s="12" t="n"/>
    </row>
    <row r="157">
      <c r="F157" s="9" t="n"/>
      <c r="G157" s="10" t="n"/>
      <c r="H157" s="9" t="n"/>
      <c r="I157" s="12" t="n"/>
    </row>
    <row r="158">
      <c r="F158" s="9" t="n"/>
      <c r="G158" s="10" t="n"/>
      <c r="H158" s="9" t="n"/>
      <c r="I158" s="12" t="n"/>
    </row>
    <row r="159">
      <c r="F159" s="9" t="n"/>
      <c r="G159" s="10" t="n"/>
      <c r="H159" s="9" t="n"/>
      <c r="I159" s="12" t="n"/>
    </row>
    <row r="160">
      <c r="F160" s="9" t="n"/>
      <c r="G160" s="10" t="n"/>
      <c r="H160" s="9" t="n"/>
      <c r="I160" s="12" t="n"/>
    </row>
    <row r="161">
      <c r="F161" s="9" t="n"/>
      <c r="G161" s="10" t="n"/>
      <c r="H161" s="9" t="n"/>
      <c r="I161" s="12" t="n"/>
    </row>
    <row r="162">
      <c r="F162" s="9" t="n"/>
      <c r="G162" s="10" t="n"/>
      <c r="H162" s="9" t="n"/>
      <c r="I162" s="12" t="n"/>
    </row>
    <row r="163">
      <c r="F163" s="9" t="n"/>
      <c r="G163" s="10" t="n"/>
      <c r="H163" s="9" t="n"/>
      <c r="I163" s="12" t="n"/>
    </row>
    <row r="164">
      <c r="F164" s="9" t="n"/>
      <c r="G164" s="10" t="n"/>
      <c r="H164" s="9" t="n"/>
      <c r="I164" s="12" t="n"/>
    </row>
    <row r="165">
      <c r="F165" s="9" t="n"/>
      <c r="G165" s="10" t="n"/>
      <c r="H165" s="9" t="n"/>
      <c r="I165" s="12" t="n"/>
    </row>
    <row r="166">
      <c r="F166" s="9" t="n"/>
      <c r="G166" s="10" t="n"/>
      <c r="H166" s="9" t="n"/>
      <c r="I166" s="12" t="n"/>
    </row>
    <row r="167">
      <c r="F167" s="9" t="n"/>
      <c r="G167" s="10" t="n"/>
      <c r="H167" s="9" t="n"/>
      <c r="I167" s="12" t="n"/>
    </row>
    <row r="168">
      <c r="F168" s="9" t="n"/>
      <c r="G168" s="10" t="n"/>
      <c r="H168" s="9" t="n"/>
      <c r="I168" s="12" t="n"/>
    </row>
    <row r="169">
      <c r="F169" s="9" t="n"/>
      <c r="G169" s="10" t="n"/>
      <c r="H169" s="9" t="n"/>
      <c r="I169" s="12" t="n"/>
    </row>
    <row r="170">
      <c r="F170" s="9" t="n"/>
      <c r="G170" s="10" t="n"/>
      <c r="H170" s="9" t="n"/>
      <c r="I170" s="12" t="n"/>
    </row>
    <row r="171">
      <c r="F171" s="9" t="n"/>
      <c r="G171" s="10" t="n"/>
      <c r="H171" s="9" t="n"/>
      <c r="I171" s="12" t="n"/>
    </row>
    <row r="172">
      <c r="F172" s="9" t="n"/>
      <c r="G172" s="10" t="n"/>
      <c r="H172" s="9" t="n"/>
      <c r="I172" s="12" t="n"/>
    </row>
    <row r="173">
      <c r="F173" s="9" t="n"/>
      <c r="G173" s="10" t="n"/>
      <c r="H173" s="9" t="n"/>
      <c r="I173" s="12" t="n"/>
    </row>
    <row r="174">
      <c r="F174" s="9" t="n"/>
      <c r="G174" s="10" t="n"/>
      <c r="H174" s="9" t="n"/>
      <c r="I174" s="12" t="n"/>
    </row>
    <row r="175">
      <c r="F175" s="9" t="n"/>
      <c r="G175" s="10" t="n"/>
      <c r="H175" s="9" t="n"/>
      <c r="I175" s="12" t="n"/>
    </row>
    <row r="176">
      <c r="F176" s="9" t="n"/>
      <c r="G176" s="10" t="n"/>
      <c r="H176" s="9" t="n"/>
      <c r="I176" s="12" t="n"/>
    </row>
    <row r="177">
      <c r="F177" s="9" t="n"/>
      <c r="G177" s="10" t="n"/>
      <c r="H177" s="9" t="n"/>
      <c r="I177" s="12" t="n"/>
    </row>
    <row r="178">
      <c r="F178" s="9" t="n"/>
      <c r="G178" s="10" t="n"/>
      <c r="H178" s="9" t="n"/>
      <c r="I178" s="12" t="n"/>
    </row>
    <row r="179">
      <c r="F179" s="9" t="n"/>
      <c r="G179" s="10" t="n"/>
      <c r="H179" s="9" t="n"/>
      <c r="I179" s="12" t="n"/>
    </row>
    <row r="180">
      <c r="F180" s="9" t="n"/>
      <c r="G180" s="10" t="n"/>
      <c r="H180" s="9" t="n"/>
      <c r="I180" s="12" t="n"/>
    </row>
    <row r="181">
      <c r="F181" s="9" t="n"/>
      <c r="G181" s="10" t="n"/>
      <c r="H181" s="9" t="n"/>
      <c r="I181" s="12" t="n"/>
    </row>
    <row r="182">
      <c r="F182" s="9" t="n"/>
      <c r="G182" s="10" t="n"/>
      <c r="H182" s="9" t="n"/>
      <c r="I182" s="12" t="n"/>
    </row>
    <row r="183">
      <c r="F183" s="9" t="n"/>
      <c r="G183" s="10" t="n"/>
      <c r="H183" s="9" t="n"/>
      <c r="I183" s="12" t="n"/>
    </row>
    <row r="184">
      <c r="F184" s="9" t="n"/>
      <c r="G184" s="10" t="n"/>
      <c r="H184" s="9" t="n"/>
      <c r="I184" s="12" t="n"/>
    </row>
    <row r="185">
      <c r="F185" s="9" t="n"/>
      <c r="G185" s="10" t="n"/>
      <c r="H185" s="9" t="n"/>
      <c r="I185" s="12" t="n"/>
    </row>
    <row r="186">
      <c r="F186" s="9" t="n"/>
      <c r="G186" s="10" t="n"/>
      <c r="H186" s="9" t="n"/>
      <c r="I186" s="12" t="n"/>
    </row>
    <row r="187">
      <c r="F187" s="9" t="n"/>
      <c r="G187" s="10" t="n"/>
      <c r="H187" s="9" t="n"/>
      <c r="I187" s="12" t="n"/>
    </row>
    <row r="188">
      <c r="F188" s="9" t="n"/>
      <c r="G188" s="10" t="n"/>
      <c r="H188" s="9" t="n"/>
      <c r="I188" s="12" t="n"/>
    </row>
    <row r="189">
      <c r="F189" s="9" t="n"/>
      <c r="G189" s="10" t="n"/>
      <c r="H189" s="9" t="n"/>
      <c r="I189" s="12" t="n"/>
    </row>
    <row r="190">
      <c r="F190" s="9" t="n"/>
      <c r="G190" s="10" t="n"/>
      <c r="H190" s="9" t="n"/>
      <c r="I190" s="12" t="n"/>
    </row>
    <row r="191">
      <c r="F191" s="9" t="n"/>
      <c r="G191" s="10" t="n"/>
      <c r="H191" s="9" t="n"/>
      <c r="I191" s="12" t="n"/>
    </row>
    <row r="192">
      <c r="F192" s="9" t="n"/>
      <c r="G192" s="10" t="n"/>
      <c r="H192" s="9" t="n"/>
      <c r="I192" s="12" t="n"/>
    </row>
    <row r="193">
      <c r="F193" s="9" t="n"/>
      <c r="G193" s="10" t="n"/>
      <c r="H193" s="9" t="n"/>
      <c r="I193" s="12" t="n"/>
    </row>
    <row r="194">
      <c r="F194" s="9" t="n"/>
      <c r="G194" s="10" t="n"/>
      <c r="H194" s="9" t="n"/>
      <c r="I194" s="12" t="n"/>
    </row>
    <row r="195">
      <c r="F195" s="9" t="n"/>
      <c r="G195" s="10" t="n"/>
      <c r="H195" s="9" t="n"/>
      <c r="I195" s="12" t="n"/>
    </row>
    <row r="196">
      <c r="F196" s="9" t="n"/>
      <c r="G196" s="10" t="n"/>
      <c r="H196" s="9" t="n"/>
      <c r="I196" s="12" t="n"/>
    </row>
    <row r="197">
      <c r="F197" s="9" t="n"/>
      <c r="G197" s="10" t="n"/>
      <c r="H197" s="9" t="n"/>
      <c r="I197" s="12" t="n"/>
    </row>
    <row r="198">
      <c r="F198" s="9" t="n"/>
      <c r="G198" s="10" t="n"/>
      <c r="H198" s="9" t="n"/>
      <c r="I198" s="12" t="n"/>
    </row>
    <row r="199">
      <c r="F199" s="9" t="n"/>
      <c r="G199" s="10" t="n"/>
      <c r="H199" s="9" t="n"/>
      <c r="I199" s="12" t="n"/>
    </row>
    <row r="200">
      <c r="F200" s="9" t="n"/>
      <c r="G200" s="10" t="n"/>
      <c r="H200" s="9" t="n"/>
      <c r="I200" s="12" t="n"/>
    </row>
  </sheetData>
  <mergeCells count="2">
    <mergeCell ref="A2:K2"/>
    <mergeCell ref="A1:K1"/>
  </mergeCells>
  <dataValidations count="1">
    <dataValidation type="list" allowBlank="1" showInputMessage="1" showErrorMessage="1" sqref="C5:C100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R100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1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0" customWidth="1" min="16" max="16"/>
    <col hidden="1" width="13" customWidth="1" min="18" max="18"/>
  </cols>
  <sheetData>
    <row r="1" ht="32" customHeight="1">
      <c r="A1" s="7" t="inlineStr">
        <is>
          <t>Purchase List - Mobile Gallery</t>
        </is>
      </c>
      <c r="R1" s="13">
        <f>IF(Master!D5="","",Master!D5)</f>
        <v/>
      </c>
    </row>
    <row r="2" ht="24" customHeight="1">
      <c r="A2" s="14" t="inlineStr">
        <is>
          <t>Date</t>
        </is>
      </c>
      <c r="B2" s="15" t="n"/>
      <c r="C2" s="16" t="n"/>
      <c r="D2" s="14" t="inlineStr">
        <is>
          <t>Notes</t>
        </is>
      </c>
      <c r="E2" s="10" t="n"/>
      <c r="R2" s="13">
        <f>IF(Master!D6="","",Master!D6)</f>
        <v/>
      </c>
    </row>
    <row r="3" ht="8" customHeight="1">
      <c r="R3" s="13">
        <f>IF(Master!D7="","",Master!D7)</f>
        <v/>
      </c>
    </row>
    <row r="4" ht="60" customHeight="1">
      <c r="A4" s="3" t="inlineStr">
        <is>
          <t>SR</t>
        </is>
      </c>
      <c r="B4" s="3" t="inlineStr">
        <is>
          <t>ITEM</t>
        </is>
      </c>
      <c r="C4" s="3" t="inlineStr">
        <is>
          <t>UNIT</t>
        </is>
      </c>
      <c r="D4" s="17" t="n"/>
      <c r="E4" s="17" t="n"/>
      <c r="F4" s="17" t="n"/>
      <c r="G4" s="17" t="n"/>
      <c r="H4" s="17" t="n"/>
      <c r="I4" s="17" t="n"/>
      <c r="J4" s="17" t="n"/>
      <c r="K4" s="17" t="n"/>
      <c r="L4" s="17" t="n"/>
      <c r="M4" s="17" t="n"/>
      <c r="N4" s="17" t="n"/>
      <c r="O4" s="17" t="n"/>
      <c r="P4" s="3" t="inlineStr">
        <is>
          <t>TOTAL</t>
        </is>
      </c>
      <c r="R4" s="13">
        <f>IF(Master!D8="","",Master!D8)</f>
        <v/>
      </c>
    </row>
    <row r="5" ht="22" customHeight="1">
      <c r="A5" s="18" t="n">
        <v>1</v>
      </c>
      <c r="B5" s="10" t="n"/>
      <c r="C5" s="19">
        <f>IF(B5="","",IF(ISNA(MATCH(B5,Master!$G$5:$G$200,0)),"",INDEX(Master!$H$5:$H$200,MATCH(B5,Master!$G$5:$G$200,0))))</f>
        <v/>
      </c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20">
        <f>IF(SUM(D5:O5)=0,"",SUM(D5:O5))</f>
        <v/>
      </c>
      <c r="R5" s="13">
        <f>IF(Master!D9="","",Master!D9)</f>
        <v/>
      </c>
    </row>
    <row r="6" ht="22" customHeight="1">
      <c r="A6" s="18" t="n">
        <v>2</v>
      </c>
      <c r="B6" s="10" t="n"/>
      <c r="C6" s="19">
        <f>IF(B6="","",IF(ISNA(MATCH(B6,Master!$G$5:$G$200,0)),"",INDEX(Master!$H$5:$H$200,MATCH(B6,Master!$G$5:$G$200,0))))</f>
        <v/>
      </c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20">
        <f>IF(SUM(D6:O6)=0,"",SUM(D6:O6))</f>
        <v/>
      </c>
      <c r="R6" s="13">
        <f>IF(Master!D10="","",Master!D10)</f>
        <v/>
      </c>
    </row>
    <row r="7" ht="22" customHeight="1">
      <c r="A7" s="18" t="n">
        <v>3</v>
      </c>
      <c r="B7" s="10" t="n"/>
      <c r="C7" s="19">
        <f>IF(B7="","",IF(ISNA(MATCH(B7,Master!$G$5:$G$200,0)),"",INDEX(Master!$H$5:$H$200,MATCH(B7,Master!$G$5:$G$200,0))))</f>
        <v/>
      </c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20">
        <f>IF(SUM(D7:O7)=0,"",SUM(D7:O7))</f>
        <v/>
      </c>
      <c r="R7" s="13">
        <f>IF(Master!D11="","",Master!D11)</f>
        <v/>
      </c>
    </row>
    <row r="8" ht="22" customHeight="1">
      <c r="A8" s="18" t="n">
        <v>4</v>
      </c>
      <c r="B8" s="10" t="n"/>
      <c r="C8" s="19">
        <f>IF(B8="","",IF(ISNA(MATCH(B8,Master!$G$5:$G$200,0)),"",INDEX(Master!$H$5:$H$200,MATCH(B8,Master!$G$5:$G$200,0))))</f>
        <v/>
      </c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20">
        <f>IF(SUM(D8:O8)=0,"",SUM(D8:O8))</f>
        <v/>
      </c>
      <c r="R8" s="13">
        <f>IF(Master!D12="","",Master!D12)</f>
        <v/>
      </c>
    </row>
    <row r="9" ht="22" customHeight="1">
      <c r="A9" s="18" t="n">
        <v>5</v>
      </c>
      <c r="B9" s="10" t="n"/>
      <c r="C9" s="19">
        <f>IF(B9="","",IF(ISNA(MATCH(B9,Master!$G$5:$G$200,0)),"",INDEX(Master!$H$5:$H$200,MATCH(B9,Master!$G$5:$G$200,0))))</f>
        <v/>
      </c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20">
        <f>IF(SUM(D9:O9)=0,"",SUM(D9:O9))</f>
        <v/>
      </c>
      <c r="R9" s="13">
        <f>IF(Master!D13="","",Master!D13)</f>
        <v/>
      </c>
    </row>
    <row r="10" ht="22" customHeight="1">
      <c r="A10" s="18" t="n">
        <v>6</v>
      </c>
      <c r="B10" s="10" t="n"/>
      <c r="C10" s="19">
        <f>IF(B10="","",IF(ISNA(MATCH(B10,Master!$G$5:$G$200,0)),"",INDEX(Master!$H$5:$H$200,MATCH(B10,Master!$G$5:$G$200,0))))</f>
        <v/>
      </c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20">
        <f>IF(SUM(D10:O10)=0,"",SUM(D10:O10))</f>
        <v/>
      </c>
      <c r="R10" s="13">
        <f>IF(Master!D14="","",Master!D14)</f>
        <v/>
      </c>
    </row>
    <row r="11" ht="22" customHeight="1">
      <c r="A11" s="18" t="n">
        <v>7</v>
      </c>
      <c r="B11" s="10" t="n"/>
      <c r="C11" s="19">
        <f>IF(B11="","",IF(ISNA(MATCH(B11,Master!$G$5:$G$200,0)),"",INDEX(Master!$H$5:$H$200,MATCH(B11,Master!$G$5:$G$200,0))))</f>
        <v/>
      </c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20">
        <f>IF(SUM(D11:O11)=0,"",SUM(D11:O11))</f>
        <v/>
      </c>
      <c r="R11" s="13">
        <f>IF(Master!D15="","",Master!D15)</f>
        <v/>
      </c>
    </row>
    <row r="12" ht="22" customHeight="1">
      <c r="A12" s="18" t="n">
        <v>8</v>
      </c>
      <c r="B12" s="10" t="n"/>
      <c r="C12" s="19">
        <f>IF(B12="","",IF(ISNA(MATCH(B12,Master!$G$5:$G$200,0)),"",INDEX(Master!$H$5:$H$200,MATCH(B12,Master!$G$5:$G$200,0))))</f>
        <v/>
      </c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20">
        <f>IF(SUM(D12:O12)=0,"",SUM(D12:O12))</f>
        <v/>
      </c>
      <c r="R12" s="13">
        <f>IF(Master!D16="","",Master!D16)</f>
        <v/>
      </c>
    </row>
    <row r="13" ht="22" customHeight="1">
      <c r="A13" s="18" t="n">
        <v>9</v>
      </c>
      <c r="B13" s="10" t="n"/>
      <c r="C13" s="19">
        <f>IF(B13="","",IF(ISNA(MATCH(B13,Master!$G$5:$G$200,0)),"",INDEX(Master!$H$5:$H$200,MATCH(B13,Master!$G$5:$G$200,0))))</f>
        <v/>
      </c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20">
        <f>IF(SUM(D13:O13)=0,"",SUM(D13:O13))</f>
        <v/>
      </c>
      <c r="R13" s="13">
        <f>IF(Master!D17="","",Master!D17)</f>
        <v/>
      </c>
    </row>
    <row r="14" ht="22" customHeight="1">
      <c r="A14" s="18" t="n">
        <v>10</v>
      </c>
      <c r="B14" s="10" t="n"/>
      <c r="C14" s="19">
        <f>IF(B14="","",IF(ISNA(MATCH(B14,Master!$G$5:$G$200,0)),"",INDEX(Master!$H$5:$H$200,MATCH(B14,Master!$G$5:$G$200,0))))</f>
        <v/>
      </c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20">
        <f>IF(SUM(D14:O14)=0,"",SUM(D14:O14))</f>
        <v/>
      </c>
      <c r="R14" s="13">
        <f>IF(Master!D18="","",Master!D18)</f>
        <v/>
      </c>
    </row>
    <row r="15" ht="22" customHeight="1">
      <c r="A15" s="18" t="n">
        <v>11</v>
      </c>
      <c r="B15" s="10" t="n"/>
      <c r="C15" s="19">
        <f>IF(B15="","",IF(ISNA(MATCH(B15,Master!$G$5:$G$200,0)),"",INDEX(Master!$H$5:$H$200,MATCH(B15,Master!$G$5:$G$200,0))))</f>
        <v/>
      </c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20">
        <f>IF(SUM(D15:O15)=0,"",SUM(D15:O15))</f>
        <v/>
      </c>
      <c r="R15" s="13">
        <f>IF(Master!D19="","",Master!D19)</f>
        <v/>
      </c>
    </row>
    <row r="16" ht="22" customHeight="1">
      <c r="A16" s="18" t="n">
        <v>12</v>
      </c>
      <c r="B16" s="10" t="n"/>
      <c r="C16" s="19">
        <f>IF(B16="","",IF(ISNA(MATCH(B16,Master!$G$5:$G$200,0)),"",INDEX(Master!$H$5:$H$200,MATCH(B16,Master!$G$5:$G$200,0))))</f>
        <v/>
      </c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20">
        <f>IF(SUM(D16:O16)=0,"",SUM(D16:O16))</f>
        <v/>
      </c>
      <c r="R16" s="13">
        <f>IF(Master!D20="","",Master!D20)</f>
        <v/>
      </c>
    </row>
    <row r="17" ht="22" customHeight="1">
      <c r="A17" s="18" t="n">
        <v>13</v>
      </c>
      <c r="B17" s="10" t="n"/>
      <c r="C17" s="19">
        <f>IF(B17="","",IF(ISNA(MATCH(B17,Master!$G$5:$G$200,0)),"",INDEX(Master!$H$5:$H$200,MATCH(B17,Master!$G$5:$G$200,0))))</f>
        <v/>
      </c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20">
        <f>IF(SUM(D17:O17)=0,"",SUM(D17:O17))</f>
        <v/>
      </c>
      <c r="R17" s="13">
        <f>IF(Master!D21="","",Master!D21)</f>
        <v/>
      </c>
    </row>
    <row r="18" ht="22" customHeight="1">
      <c r="A18" s="18" t="n">
        <v>14</v>
      </c>
      <c r="B18" s="10" t="n"/>
      <c r="C18" s="19">
        <f>IF(B18="","",IF(ISNA(MATCH(B18,Master!$G$5:$G$200,0)),"",INDEX(Master!$H$5:$H$200,MATCH(B18,Master!$G$5:$G$200,0))))</f>
        <v/>
      </c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20">
        <f>IF(SUM(D18:O18)=0,"",SUM(D18:O18))</f>
        <v/>
      </c>
      <c r="R18" s="13">
        <f>IF(Master!D22="","",Master!D22)</f>
        <v/>
      </c>
    </row>
    <row r="19" ht="22" customHeight="1">
      <c r="A19" s="18" t="n">
        <v>15</v>
      </c>
      <c r="B19" s="10" t="n"/>
      <c r="C19" s="19">
        <f>IF(B19="","",IF(ISNA(MATCH(B19,Master!$G$5:$G$200,0)),"",INDEX(Master!$H$5:$H$200,MATCH(B19,Master!$G$5:$G$200,0))))</f>
        <v/>
      </c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20">
        <f>IF(SUM(D19:O19)=0,"",SUM(D19:O19))</f>
        <v/>
      </c>
      <c r="R19" s="13">
        <f>IF(Master!D23="","",Master!D23)</f>
        <v/>
      </c>
    </row>
    <row r="20" ht="22" customHeight="1">
      <c r="A20" s="18" t="n">
        <v>16</v>
      </c>
      <c r="B20" s="10" t="n"/>
      <c r="C20" s="19">
        <f>IF(B20="","",IF(ISNA(MATCH(B20,Master!$G$5:$G$200,0)),"",INDEX(Master!$H$5:$H$200,MATCH(B20,Master!$G$5:$G$200,0))))</f>
        <v/>
      </c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20">
        <f>IF(SUM(D20:O20)=0,"",SUM(D20:O20))</f>
        <v/>
      </c>
      <c r="R20" s="13">
        <f>IF(Master!D24="","",Master!D24)</f>
        <v/>
      </c>
    </row>
    <row r="21" ht="22" customHeight="1">
      <c r="A21" s="18" t="n">
        <v>17</v>
      </c>
      <c r="B21" s="10" t="n"/>
      <c r="C21" s="19">
        <f>IF(B21="","",IF(ISNA(MATCH(B21,Master!$G$5:$G$200,0)),"",INDEX(Master!$H$5:$H$200,MATCH(B21,Master!$G$5:$G$200,0))))</f>
        <v/>
      </c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20">
        <f>IF(SUM(D21:O21)=0,"",SUM(D21:O21))</f>
        <v/>
      </c>
      <c r="R21" s="13">
        <f>IF(Master!D25="","",Master!D25)</f>
        <v/>
      </c>
    </row>
    <row r="22" ht="22" customHeight="1">
      <c r="A22" s="18" t="n">
        <v>18</v>
      </c>
      <c r="B22" s="10" t="n"/>
      <c r="C22" s="19">
        <f>IF(B22="","",IF(ISNA(MATCH(B22,Master!$G$5:$G$200,0)),"",INDEX(Master!$H$5:$H$200,MATCH(B22,Master!$G$5:$G$200,0))))</f>
        <v/>
      </c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20">
        <f>IF(SUM(D22:O22)=0,"",SUM(D22:O22))</f>
        <v/>
      </c>
      <c r="R22" s="13">
        <f>IF(Master!D26="","",Master!D26)</f>
        <v/>
      </c>
    </row>
    <row r="23" ht="22" customHeight="1">
      <c r="A23" s="18" t="n">
        <v>19</v>
      </c>
      <c r="B23" s="10" t="n"/>
      <c r="C23" s="19">
        <f>IF(B23="","",IF(ISNA(MATCH(B23,Master!$G$5:$G$200,0)),"",INDEX(Master!$H$5:$H$200,MATCH(B23,Master!$G$5:$G$200,0))))</f>
        <v/>
      </c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20">
        <f>IF(SUM(D23:O23)=0,"",SUM(D23:O23))</f>
        <v/>
      </c>
      <c r="R23" s="13">
        <f>IF(Master!D27="","",Master!D27)</f>
        <v/>
      </c>
    </row>
    <row r="24" ht="22" customHeight="1">
      <c r="A24" s="18" t="n">
        <v>20</v>
      </c>
      <c r="B24" s="10" t="n"/>
      <c r="C24" s="19">
        <f>IF(B24="","",IF(ISNA(MATCH(B24,Master!$G$5:$G$200,0)),"",INDEX(Master!$H$5:$H$200,MATCH(B24,Master!$G$5:$G$200,0))))</f>
        <v/>
      </c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20">
        <f>IF(SUM(D24:O24)=0,"",SUM(D24:O24))</f>
        <v/>
      </c>
      <c r="R24" s="13">
        <f>IF(Master!D28="","",Master!D28)</f>
        <v/>
      </c>
    </row>
    <row r="25" ht="22" customHeight="1">
      <c r="A25" s="18" t="n">
        <v>21</v>
      </c>
      <c r="B25" s="10" t="n"/>
      <c r="C25" s="19">
        <f>IF(B25="","",IF(ISNA(MATCH(B25,Master!$G$5:$G$200,0)),"",INDEX(Master!$H$5:$H$200,MATCH(B25,Master!$G$5:$G$200,0))))</f>
        <v/>
      </c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20">
        <f>IF(SUM(D25:O25)=0,"",SUM(D25:O25))</f>
        <v/>
      </c>
      <c r="R25" s="13">
        <f>IF(Master!D29="","",Master!D29)</f>
        <v/>
      </c>
    </row>
    <row r="26" ht="22" customHeight="1">
      <c r="A26" s="18" t="n">
        <v>22</v>
      </c>
      <c r="B26" s="10" t="n"/>
      <c r="C26" s="19">
        <f>IF(B26="","",IF(ISNA(MATCH(B26,Master!$G$5:$G$200,0)),"",INDEX(Master!$H$5:$H$200,MATCH(B26,Master!$G$5:$G$200,0))))</f>
        <v/>
      </c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20">
        <f>IF(SUM(D26:O26)=0,"",SUM(D26:O26))</f>
        <v/>
      </c>
      <c r="R26" s="13">
        <f>IF(Master!D30="","",Master!D30)</f>
        <v/>
      </c>
    </row>
    <row r="27" ht="22" customHeight="1">
      <c r="A27" s="18" t="n">
        <v>23</v>
      </c>
      <c r="B27" s="10" t="n"/>
      <c r="C27" s="19">
        <f>IF(B27="","",IF(ISNA(MATCH(B27,Master!$G$5:$G$200,0)),"",INDEX(Master!$H$5:$H$200,MATCH(B27,Master!$G$5:$G$200,0))))</f>
        <v/>
      </c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20">
        <f>IF(SUM(D27:O27)=0,"",SUM(D27:O27))</f>
        <v/>
      </c>
      <c r="R27" s="13">
        <f>IF(Master!D31="","",Master!D31)</f>
        <v/>
      </c>
    </row>
    <row r="28" ht="22" customHeight="1">
      <c r="A28" s="18" t="n">
        <v>24</v>
      </c>
      <c r="B28" s="10" t="n"/>
      <c r="C28" s="19">
        <f>IF(B28="","",IF(ISNA(MATCH(B28,Master!$G$5:$G$200,0)),"",INDEX(Master!$H$5:$H$200,MATCH(B28,Master!$G$5:$G$200,0))))</f>
        <v/>
      </c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20">
        <f>IF(SUM(D28:O28)=0,"",SUM(D28:O28))</f>
        <v/>
      </c>
      <c r="R28" s="13">
        <f>IF(Master!D32="","",Master!D32)</f>
        <v/>
      </c>
    </row>
    <row r="29" ht="22" customHeight="1">
      <c r="A29" s="18" t="n">
        <v>25</v>
      </c>
      <c r="B29" s="10" t="n"/>
      <c r="C29" s="19">
        <f>IF(B29="","",IF(ISNA(MATCH(B29,Master!$G$5:$G$200,0)),"",INDEX(Master!$H$5:$H$200,MATCH(B29,Master!$G$5:$G$200,0))))</f>
        <v/>
      </c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20">
        <f>IF(SUM(D29:O29)=0,"",SUM(D29:O29))</f>
        <v/>
      </c>
      <c r="R29" s="13">
        <f>IF(Master!D33="","",Master!D33)</f>
        <v/>
      </c>
    </row>
    <row r="30" ht="22" customHeight="1">
      <c r="A30" s="18" t="n">
        <v>26</v>
      </c>
      <c r="B30" s="10" t="n"/>
      <c r="C30" s="19">
        <f>IF(B30="","",IF(ISNA(MATCH(B30,Master!$G$5:$G$200,0)),"",INDEX(Master!$H$5:$H$200,MATCH(B30,Master!$G$5:$G$200,0))))</f>
        <v/>
      </c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20">
        <f>IF(SUM(D30:O30)=0,"",SUM(D30:O30))</f>
        <v/>
      </c>
      <c r="R30" s="13">
        <f>IF(Master!D34="","",Master!D34)</f>
        <v/>
      </c>
    </row>
    <row r="31" ht="22" customHeight="1">
      <c r="A31" s="18" t="n">
        <v>27</v>
      </c>
      <c r="B31" s="10" t="n"/>
      <c r="C31" s="19">
        <f>IF(B31="","",IF(ISNA(MATCH(B31,Master!$G$5:$G$200,0)),"",INDEX(Master!$H$5:$H$200,MATCH(B31,Master!$G$5:$G$200,0))))</f>
        <v/>
      </c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20">
        <f>IF(SUM(D31:O31)=0,"",SUM(D31:O31))</f>
        <v/>
      </c>
      <c r="R31" s="13">
        <f>IF(Master!D35="","",Master!D35)</f>
        <v/>
      </c>
    </row>
    <row r="32" ht="22" customHeight="1">
      <c r="A32" s="18" t="n">
        <v>28</v>
      </c>
      <c r="B32" s="10" t="n"/>
      <c r="C32" s="19">
        <f>IF(B32="","",IF(ISNA(MATCH(B32,Master!$G$5:$G$200,0)),"",INDEX(Master!$H$5:$H$200,MATCH(B32,Master!$G$5:$G$200,0))))</f>
        <v/>
      </c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20">
        <f>IF(SUM(D32:O32)=0,"",SUM(D32:O32))</f>
        <v/>
      </c>
      <c r="R32" s="13">
        <f>IF(Master!D36="","",Master!D36)</f>
        <v/>
      </c>
    </row>
    <row r="33" ht="22" customHeight="1">
      <c r="A33" s="18" t="n">
        <v>29</v>
      </c>
      <c r="B33" s="10" t="n"/>
      <c r="C33" s="19">
        <f>IF(B33="","",IF(ISNA(MATCH(B33,Master!$G$5:$G$200,0)),"",INDEX(Master!$H$5:$H$200,MATCH(B33,Master!$G$5:$G$200,0))))</f>
        <v/>
      </c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20">
        <f>IF(SUM(D33:O33)=0,"",SUM(D33:O33))</f>
        <v/>
      </c>
      <c r="R33" s="13">
        <f>IF(Master!D37="","",Master!D37)</f>
        <v/>
      </c>
    </row>
    <row r="34" ht="22" customHeight="1">
      <c r="A34" s="18" t="n">
        <v>30</v>
      </c>
      <c r="B34" s="10" t="n"/>
      <c r="C34" s="19">
        <f>IF(B34="","",IF(ISNA(MATCH(B34,Master!$G$5:$G$200,0)),"",INDEX(Master!$H$5:$H$200,MATCH(B34,Master!$G$5:$G$200,0))))</f>
        <v/>
      </c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20">
        <f>IF(SUM(D34:O34)=0,"",SUM(D34:O34))</f>
        <v/>
      </c>
      <c r="R34" s="13">
        <f>IF(Master!D38="","",Master!D38)</f>
        <v/>
      </c>
    </row>
    <row r="35" ht="22" customHeight="1">
      <c r="A35" s="18" t="n">
        <v>31</v>
      </c>
      <c r="B35" s="10" t="n"/>
      <c r="C35" s="19">
        <f>IF(B35="","",IF(ISNA(MATCH(B35,Master!$G$5:$G$200,0)),"",INDEX(Master!$H$5:$H$200,MATCH(B35,Master!$G$5:$G$200,0))))</f>
        <v/>
      </c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20">
        <f>IF(SUM(D35:O35)=0,"",SUM(D35:O35))</f>
        <v/>
      </c>
      <c r="R35" s="13">
        <f>IF(Master!D39="","",Master!D39)</f>
        <v/>
      </c>
    </row>
    <row r="36" ht="22" customHeight="1">
      <c r="A36" s="18" t="n">
        <v>32</v>
      </c>
      <c r="B36" s="10" t="n"/>
      <c r="C36" s="19">
        <f>IF(B36="","",IF(ISNA(MATCH(B36,Master!$G$5:$G$200,0)),"",INDEX(Master!$H$5:$H$200,MATCH(B36,Master!$G$5:$G$200,0))))</f>
        <v/>
      </c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20">
        <f>IF(SUM(D36:O36)=0,"",SUM(D36:O36))</f>
        <v/>
      </c>
      <c r="R36" s="13">
        <f>IF(Master!D40="","",Master!D40)</f>
        <v/>
      </c>
    </row>
    <row r="37" ht="22" customHeight="1">
      <c r="A37" s="18" t="n">
        <v>33</v>
      </c>
      <c r="B37" s="10" t="n"/>
      <c r="C37" s="19">
        <f>IF(B37="","",IF(ISNA(MATCH(B37,Master!$G$5:$G$200,0)),"",INDEX(Master!$H$5:$H$200,MATCH(B37,Master!$G$5:$G$200,0))))</f>
        <v/>
      </c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20">
        <f>IF(SUM(D37:O37)=0,"",SUM(D37:O37))</f>
        <v/>
      </c>
      <c r="R37" s="13">
        <f>IF(Master!D41="","",Master!D41)</f>
        <v/>
      </c>
    </row>
    <row r="38" ht="22" customHeight="1">
      <c r="A38" s="18" t="n">
        <v>34</v>
      </c>
      <c r="B38" s="10" t="n"/>
      <c r="C38" s="19">
        <f>IF(B38="","",IF(ISNA(MATCH(B38,Master!$G$5:$G$200,0)),"",INDEX(Master!$H$5:$H$200,MATCH(B38,Master!$G$5:$G$200,0))))</f>
        <v/>
      </c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20">
        <f>IF(SUM(D38:O38)=0,"",SUM(D38:O38))</f>
        <v/>
      </c>
      <c r="R38" s="13">
        <f>IF(Master!D42="","",Master!D42)</f>
        <v/>
      </c>
    </row>
    <row r="39" ht="22" customHeight="1">
      <c r="A39" s="18" t="n">
        <v>35</v>
      </c>
      <c r="B39" s="10" t="n"/>
      <c r="C39" s="19">
        <f>IF(B39="","",IF(ISNA(MATCH(B39,Master!$G$5:$G$200,0)),"",INDEX(Master!$H$5:$H$200,MATCH(B39,Master!$G$5:$G$200,0))))</f>
        <v/>
      </c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20">
        <f>IF(SUM(D39:O39)=0,"",SUM(D39:O39))</f>
        <v/>
      </c>
      <c r="R39" s="13">
        <f>IF(Master!D43="","",Master!D43)</f>
        <v/>
      </c>
    </row>
    <row r="40" ht="22" customHeight="1">
      <c r="A40" s="18" t="n">
        <v>36</v>
      </c>
      <c r="B40" s="10" t="n"/>
      <c r="C40" s="19">
        <f>IF(B40="","",IF(ISNA(MATCH(B40,Master!$G$5:$G$200,0)),"",INDEX(Master!$H$5:$H$200,MATCH(B40,Master!$G$5:$G$200,0))))</f>
        <v/>
      </c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20">
        <f>IF(SUM(D40:O40)=0,"",SUM(D40:O40))</f>
        <v/>
      </c>
      <c r="R40" s="13">
        <f>IF(Master!D44="","",Master!D44)</f>
        <v/>
      </c>
    </row>
    <row r="41" ht="22" customHeight="1">
      <c r="A41" s="18" t="n">
        <v>37</v>
      </c>
      <c r="B41" s="10" t="n"/>
      <c r="C41" s="19">
        <f>IF(B41="","",IF(ISNA(MATCH(B41,Master!$G$5:$G$200,0)),"",INDEX(Master!$H$5:$H$200,MATCH(B41,Master!$G$5:$G$200,0))))</f>
        <v/>
      </c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20">
        <f>IF(SUM(D41:O41)=0,"",SUM(D41:O41))</f>
        <v/>
      </c>
      <c r="R41" s="13">
        <f>IF(Master!D45="","",Master!D45)</f>
        <v/>
      </c>
    </row>
    <row r="42" ht="22" customHeight="1">
      <c r="A42" s="18" t="n">
        <v>38</v>
      </c>
      <c r="B42" s="10" t="n"/>
      <c r="C42" s="19">
        <f>IF(B42="","",IF(ISNA(MATCH(B42,Master!$G$5:$G$200,0)),"",INDEX(Master!$H$5:$H$200,MATCH(B42,Master!$G$5:$G$200,0))))</f>
        <v/>
      </c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20">
        <f>IF(SUM(D42:O42)=0,"",SUM(D42:O42))</f>
        <v/>
      </c>
      <c r="R42" s="13">
        <f>IF(Master!D46="","",Master!D46)</f>
        <v/>
      </c>
    </row>
    <row r="43" ht="22" customHeight="1">
      <c r="A43" s="18" t="n">
        <v>39</v>
      </c>
      <c r="B43" s="10" t="n"/>
      <c r="C43" s="19">
        <f>IF(B43="","",IF(ISNA(MATCH(B43,Master!$G$5:$G$200,0)),"",INDEX(Master!$H$5:$H$200,MATCH(B43,Master!$G$5:$G$200,0))))</f>
        <v/>
      </c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20">
        <f>IF(SUM(D43:O43)=0,"",SUM(D43:O43))</f>
        <v/>
      </c>
      <c r="R43" s="13">
        <f>IF(Master!D47="","",Master!D47)</f>
        <v/>
      </c>
    </row>
    <row r="44" ht="22" customHeight="1">
      <c r="A44" s="18" t="n">
        <v>40</v>
      </c>
      <c r="B44" s="10" t="n"/>
      <c r="C44" s="19">
        <f>IF(B44="","",IF(ISNA(MATCH(B44,Master!$G$5:$G$200,0)),"",INDEX(Master!$H$5:$H$200,MATCH(B44,Master!$G$5:$G$200,0))))</f>
        <v/>
      </c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20">
        <f>IF(SUM(D44:O44)=0,"",SUM(D44:O44))</f>
        <v/>
      </c>
      <c r="R44" s="13">
        <f>IF(Master!D48="","",Master!D48)</f>
        <v/>
      </c>
    </row>
    <row r="45" ht="22" customHeight="1">
      <c r="A45" s="18" t="n">
        <v>41</v>
      </c>
      <c r="B45" s="10" t="n"/>
      <c r="C45" s="19">
        <f>IF(B45="","",IF(ISNA(MATCH(B45,Master!$G$5:$G$200,0)),"",INDEX(Master!$H$5:$H$200,MATCH(B45,Master!$G$5:$G$200,0))))</f>
        <v/>
      </c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20">
        <f>IF(SUM(D45:O45)=0,"",SUM(D45:O45))</f>
        <v/>
      </c>
      <c r="R45" s="13">
        <f>IF(Master!D49="","",Master!D49)</f>
        <v/>
      </c>
    </row>
    <row r="46" ht="22" customHeight="1">
      <c r="A46" s="18" t="n">
        <v>42</v>
      </c>
      <c r="B46" s="10" t="n"/>
      <c r="C46" s="19">
        <f>IF(B46="","",IF(ISNA(MATCH(B46,Master!$G$5:$G$200,0)),"",INDEX(Master!$H$5:$H$200,MATCH(B46,Master!$G$5:$G$200,0))))</f>
        <v/>
      </c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20">
        <f>IF(SUM(D46:O46)=0,"",SUM(D46:O46))</f>
        <v/>
      </c>
      <c r="R46" s="13">
        <f>IF(Master!D50="","",Master!D50)</f>
        <v/>
      </c>
    </row>
    <row r="47" ht="22" customHeight="1">
      <c r="A47" s="18" t="n">
        <v>43</v>
      </c>
      <c r="B47" s="10" t="n"/>
      <c r="C47" s="19">
        <f>IF(B47="","",IF(ISNA(MATCH(B47,Master!$G$5:$G$200,0)),"",INDEX(Master!$H$5:$H$200,MATCH(B47,Master!$G$5:$G$200,0))))</f>
        <v/>
      </c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20">
        <f>IF(SUM(D47:O47)=0,"",SUM(D47:O47))</f>
        <v/>
      </c>
      <c r="R47" s="13">
        <f>IF(Master!D51="","",Master!D51)</f>
        <v/>
      </c>
    </row>
    <row r="48" ht="22" customHeight="1">
      <c r="A48" s="18" t="n">
        <v>44</v>
      </c>
      <c r="B48" s="10" t="n"/>
      <c r="C48" s="19">
        <f>IF(B48="","",IF(ISNA(MATCH(B48,Master!$G$5:$G$200,0)),"",INDEX(Master!$H$5:$H$200,MATCH(B48,Master!$G$5:$G$200,0))))</f>
        <v/>
      </c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20">
        <f>IF(SUM(D48:O48)=0,"",SUM(D48:O48))</f>
        <v/>
      </c>
      <c r="R48" s="13">
        <f>IF(Master!D52="","",Master!D52)</f>
        <v/>
      </c>
    </row>
    <row r="49" ht="22" customHeight="1">
      <c r="A49" s="18" t="n">
        <v>45</v>
      </c>
      <c r="B49" s="10" t="n"/>
      <c r="C49" s="19">
        <f>IF(B49="","",IF(ISNA(MATCH(B49,Master!$G$5:$G$200,0)),"",INDEX(Master!$H$5:$H$200,MATCH(B49,Master!$G$5:$G$200,0))))</f>
        <v/>
      </c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20">
        <f>IF(SUM(D49:O49)=0,"",SUM(D49:O49))</f>
        <v/>
      </c>
      <c r="R49" s="13">
        <f>IF(Master!D53="","",Master!D53)</f>
        <v/>
      </c>
    </row>
    <row r="50" ht="22" customHeight="1">
      <c r="A50" s="18" t="n">
        <v>46</v>
      </c>
      <c r="B50" s="10" t="n"/>
      <c r="C50" s="19">
        <f>IF(B50="","",IF(ISNA(MATCH(B50,Master!$G$5:$G$200,0)),"",INDEX(Master!$H$5:$H$200,MATCH(B50,Master!$G$5:$G$200,0))))</f>
        <v/>
      </c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20">
        <f>IF(SUM(D50:O50)=0,"",SUM(D50:O50))</f>
        <v/>
      </c>
      <c r="R50" s="13">
        <f>IF(Master!D54="","",Master!D54)</f>
        <v/>
      </c>
    </row>
    <row r="51" ht="22" customHeight="1">
      <c r="A51" s="18" t="n">
        <v>47</v>
      </c>
      <c r="B51" s="10" t="n"/>
      <c r="C51" s="19">
        <f>IF(B51="","",IF(ISNA(MATCH(B51,Master!$G$5:$G$200,0)),"",INDEX(Master!$H$5:$H$200,MATCH(B51,Master!$G$5:$G$200,0))))</f>
        <v/>
      </c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20">
        <f>IF(SUM(D51:O51)=0,"",SUM(D51:O51))</f>
        <v/>
      </c>
      <c r="R51" s="13">
        <f>IF(Master!D55="","",Master!D55)</f>
        <v/>
      </c>
    </row>
    <row r="52" ht="22" customHeight="1">
      <c r="A52" s="18" t="n">
        <v>48</v>
      </c>
      <c r="B52" s="10" t="n"/>
      <c r="C52" s="19">
        <f>IF(B52="","",IF(ISNA(MATCH(B52,Master!$G$5:$G$200,0)),"",INDEX(Master!$H$5:$H$200,MATCH(B52,Master!$G$5:$G$200,0))))</f>
        <v/>
      </c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20">
        <f>IF(SUM(D52:O52)=0,"",SUM(D52:O52))</f>
        <v/>
      </c>
      <c r="R52" s="13">
        <f>IF(Master!D56="","",Master!D56)</f>
        <v/>
      </c>
    </row>
    <row r="53" ht="22" customHeight="1">
      <c r="A53" s="18" t="n">
        <v>49</v>
      </c>
      <c r="B53" s="10" t="n"/>
      <c r="C53" s="19">
        <f>IF(B53="","",IF(ISNA(MATCH(B53,Master!$G$5:$G$200,0)),"",INDEX(Master!$H$5:$H$200,MATCH(B53,Master!$G$5:$G$200,0))))</f>
        <v/>
      </c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20">
        <f>IF(SUM(D53:O53)=0,"",SUM(D53:O53))</f>
        <v/>
      </c>
      <c r="R53" s="13">
        <f>IF(Master!D57="","",Master!D57)</f>
        <v/>
      </c>
    </row>
    <row r="54" ht="22" customHeight="1">
      <c r="A54" s="18" t="n">
        <v>50</v>
      </c>
      <c r="B54" s="10" t="n"/>
      <c r="C54" s="19">
        <f>IF(B54="","",IF(ISNA(MATCH(B54,Master!$G$5:$G$200,0)),"",INDEX(Master!$H$5:$H$200,MATCH(B54,Master!$G$5:$G$200,0))))</f>
        <v/>
      </c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20">
        <f>IF(SUM(D54:O54)=0,"",SUM(D54:O54))</f>
        <v/>
      </c>
      <c r="R54" s="13">
        <f>IF(Master!D58="","",Master!D58)</f>
        <v/>
      </c>
    </row>
    <row r="55" ht="22" customHeight="1">
      <c r="A55" s="18" t="n">
        <v>51</v>
      </c>
      <c r="B55" s="10" t="n"/>
      <c r="C55" s="19">
        <f>IF(B55="","",IF(ISNA(MATCH(B55,Master!$G$5:$G$200,0)),"",INDEX(Master!$H$5:$H$200,MATCH(B55,Master!$G$5:$G$200,0))))</f>
        <v/>
      </c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20">
        <f>IF(SUM(D55:O55)=0,"",SUM(D55:O55))</f>
        <v/>
      </c>
      <c r="R55" s="13">
        <f>IF(Master!D59="","",Master!D59)</f>
        <v/>
      </c>
    </row>
    <row r="56" ht="22" customHeight="1">
      <c r="A56" s="18" t="n">
        <v>52</v>
      </c>
      <c r="B56" s="10" t="n"/>
      <c r="C56" s="19">
        <f>IF(B56="","",IF(ISNA(MATCH(B56,Master!$G$5:$G$200,0)),"",INDEX(Master!$H$5:$H$200,MATCH(B56,Master!$G$5:$G$200,0))))</f>
        <v/>
      </c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20">
        <f>IF(SUM(D56:O56)=0,"",SUM(D56:O56))</f>
        <v/>
      </c>
      <c r="R56" s="13">
        <f>IF(Master!D60="","",Master!D60)</f>
        <v/>
      </c>
    </row>
    <row r="57" ht="22" customHeight="1">
      <c r="A57" s="18" t="n">
        <v>53</v>
      </c>
      <c r="B57" s="10" t="n"/>
      <c r="C57" s="19">
        <f>IF(B57="","",IF(ISNA(MATCH(B57,Master!$G$5:$G$200,0)),"",INDEX(Master!$H$5:$H$200,MATCH(B57,Master!$G$5:$G$200,0))))</f>
        <v/>
      </c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20">
        <f>IF(SUM(D57:O57)=0,"",SUM(D57:O57))</f>
        <v/>
      </c>
      <c r="R57" s="13">
        <f>IF(Master!D61="","",Master!D61)</f>
        <v/>
      </c>
    </row>
    <row r="58" ht="22" customHeight="1">
      <c r="A58" s="18" t="n">
        <v>54</v>
      </c>
      <c r="B58" s="10" t="n"/>
      <c r="C58" s="19">
        <f>IF(B58="","",IF(ISNA(MATCH(B58,Master!$G$5:$G$200,0)),"",INDEX(Master!$H$5:$H$200,MATCH(B58,Master!$G$5:$G$200,0))))</f>
        <v/>
      </c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20">
        <f>IF(SUM(D58:O58)=0,"",SUM(D58:O58))</f>
        <v/>
      </c>
      <c r="R58" s="13">
        <f>IF(Master!D62="","",Master!D62)</f>
        <v/>
      </c>
    </row>
    <row r="59" ht="22" customHeight="1">
      <c r="A59" s="18" t="n">
        <v>55</v>
      </c>
      <c r="B59" s="10" t="n"/>
      <c r="C59" s="19">
        <f>IF(B59="","",IF(ISNA(MATCH(B59,Master!$G$5:$G$200,0)),"",INDEX(Master!$H$5:$H$200,MATCH(B59,Master!$G$5:$G$200,0))))</f>
        <v/>
      </c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20">
        <f>IF(SUM(D59:O59)=0,"",SUM(D59:O59))</f>
        <v/>
      </c>
      <c r="R59" s="13">
        <f>IF(Master!D63="","",Master!D63)</f>
        <v/>
      </c>
    </row>
    <row r="60" ht="22" customHeight="1">
      <c r="A60" s="18" t="n">
        <v>56</v>
      </c>
      <c r="B60" s="10" t="n"/>
      <c r="C60" s="19">
        <f>IF(B60="","",IF(ISNA(MATCH(B60,Master!$G$5:$G$200,0)),"",INDEX(Master!$H$5:$H$200,MATCH(B60,Master!$G$5:$G$200,0))))</f>
        <v/>
      </c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20">
        <f>IF(SUM(D60:O60)=0,"",SUM(D60:O60))</f>
        <v/>
      </c>
      <c r="R60" s="13">
        <f>IF(Master!D64="","",Master!D64)</f>
        <v/>
      </c>
    </row>
    <row r="61" ht="22" customHeight="1">
      <c r="A61" s="18" t="n">
        <v>57</v>
      </c>
      <c r="B61" s="10" t="n"/>
      <c r="C61" s="19">
        <f>IF(B61="","",IF(ISNA(MATCH(B61,Master!$G$5:$G$200,0)),"",INDEX(Master!$H$5:$H$200,MATCH(B61,Master!$G$5:$G$200,0))))</f>
        <v/>
      </c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20">
        <f>IF(SUM(D61:O61)=0,"",SUM(D61:O61))</f>
        <v/>
      </c>
      <c r="R61" s="13">
        <f>IF(Master!D65="","",Master!D65)</f>
        <v/>
      </c>
    </row>
    <row r="62" ht="22" customHeight="1">
      <c r="A62" s="18" t="n">
        <v>58</v>
      </c>
      <c r="B62" s="10" t="n"/>
      <c r="C62" s="19">
        <f>IF(B62="","",IF(ISNA(MATCH(B62,Master!$G$5:$G$200,0)),"",INDEX(Master!$H$5:$H$200,MATCH(B62,Master!$G$5:$G$200,0))))</f>
        <v/>
      </c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20">
        <f>IF(SUM(D62:O62)=0,"",SUM(D62:O62))</f>
        <v/>
      </c>
      <c r="R62" s="13">
        <f>IF(Master!D66="","",Master!D66)</f>
        <v/>
      </c>
    </row>
    <row r="63" ht="22" customHeight="1">
      <c r="A63" s="18" t="n">
        <v>59</v>
      </c>
      <c r="B63" s="10" t="n"/>
      <c r="C63" s="19">
        <f>IF(B63="","",IF(ISNA(MATCH(B63,Master!$G$5:$G$200,0)),"",INDEX(Master!$H$5:$H$200,MATCH(B63,Master!$G$5:$G$200,0))))</f>
        <v/>
      </c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20">
        <f>IF(SUM(D63:O63)=0,"",SUM(D63:O63))</f>
        <v/>
      </c>
      <c r="R63" s="13">
        <f>IF(Master!D67="","",Master!D67)</f>
        <v/>
      </c>
    </row>
    <row r="64" ht="22" customHeight="1">
      <c r="A64" s="18" t="n">
        <v>60</v>
      </c>
      <c r="B64" s="10" t="n"/>
      <c r="C64" s="19">
        <f>IF(B64="","",IF(ISNA(MATCH(B64,Master!$G$5:$G$200,0)),"",INDEX(Master!$H$5:$H$200,MATCH(B64,Master!$G$5:$G$200,0))))</f>
        <v/>
      </c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20">
        <f>IF(SUM(D64:O64)=0,"",SUM(D64:O64))</f>
        <v/>
      </c>
      <c r="R64" s="13">
        <f>IF(Master!D68="","",Master!D68)</f>
        <v/>
      </c>
    </row>
    <row r="65">
      <c r="R65" s="13">
        <f>IF(Master!D69="","",Master!D69)</f>
        <v/>
      </c>
    </row>
    <row r="66">
      <c r="R66" s="13">
        <f>IF(Master!D70="","",Master!D70)</f>
        <v/>
      </c>
    </row>
    <row r="67">
      <c r="R67" s="13">
        <f>IF(Master!D71="","",Master!D71)</f>
        <v/>
      </c>
    </row>
    <row r="68">
      <c r="R68" s="13">
        <f>IF(Master!D72="","",Master!D72)</f>
        <v/>
      </c>
    </row>
    <row r="69">
      <c r="R69" s="13">
        <f>IF(Master!D73="","",Master!D73)</f>
        <v/>
      </c>
    </row>
    <row r="70">
      <c r="R70" s="13">
        <f>IF(Master!D74="","",Master!D74)</f>
        <v/>
      </c>
    </row>
    <row r="71">
      <c r="R71" s="13">
        <f>IF(Master!D75="","",Master!D75)</f>
        <v/>
      </c>
    </row>
    <row r="72">
      <c r="R72" s="13">
        <f>IF(Master!D76="","",Master!D76)</f>
        <v/>
      </c>
    </row>
    <row r="73">
      <c r="R73" s="13">
        <f>IF(Master!D77="","",Master!D77)</f>
        <v/>
      </c>
    </row>
    <row r="74">
      <c r="R74" s="13">
        <f>IF(Master!D78="","",Master!D78)</f>
        <v/>
      </c>
    </row>
    <row r="75">
      <c r="R75" s="13">
        <f>IF(Master!D79="","",Master!D79)</f>
        <v/>
      </c>
    </row>
    <row r="76">
      <c r="R76" s="13">
        <f>IF(Master!D80="","",Master!D80)</f>
        <v/>
      </c>
    </row>
    <row r="77">
      <c r="R77" s="13">
        <f>IF(Master!D81="","",Master!D81)</f>
        <v/>
      </c>
    </row>
    <row r="78">
      <c r="R78" s="13">
        <f>IF(Master!D82="","",Master!D82)</f>
        <v/>
      </c>
    </row>
    <row r="79">
      <c r="R79" s="13">
        <f>IF(Master!D83="","",Master!D83)</f>
        <v/>
      </c>
    </row>
    <row r="80">
      <c r="R80" s="13">
        <f>IF(Master!D84="","",Master!D84)</f>
        <v/>
      </c>
    </row>
    <row r="81">
      <c r="R81" s="13">
        <f>IF(Master!D85="","",Master!D85)</f>
        <v/>
      </c>
    </row>
    <row r="82">
      <c r="R82" s="13">
        <f>IF(Master!D86="","",Master!D86)</f>
        <v/>
      </c>
    </row>
    <row r="83">
      <c r="R83" s="13">
        <f>IF(Master!D87="","",Master!D87)</f>
        <v/>
      </c>
    </row>
    <row r="84">
      <c r="R84" s="13">
        <f>IF(Master!D88="","",Master!D88)</f>
        <v/>
      </c>
    </row>
    <row r="85">
      <c r="R85" s="13">
        <f>IF(Master!D89="","",Master!D89)</f>
        <v/>
      </c>
    </row>
    <row r="86">
      <c r="R86" s="13">
        <f>IF(Master!D90="","",Master!D90)</f>
        <v/>
      </c>
    </row>
    <row r="87">
      <c r="R87" s="13">
        <f>IF(Master!D91="","",Master!D91)</f>
        <v/>
      </c>
    </row>
    <row r="88">
      <c r="R88" s="13">
        <f>IF(Master!D92="","",Master!D92)</f>
        <v/>
      </c>
    </row>
    <row r="89">
      <c r="R89" s="13">
        <f>IF(Master!D93="","",Master!D93)</f>
        <v/>
      </c>
    </row>
    <row r="90">
      <c r="R90" s="13">
        <f>IF(Master!D94="","",Master!D94)</f>
        <v/>
      </c>
    </row>
    <row r="91">
      <c r="R91" s="13">
        <f>IF(Master!D95="","",Master!D95)</f>
        <v/>
      </c>
    </row>
    <row r="92">
      <c r="R92" s="13">
        <f>IF(Master!D96="","",Master!D96)</f>
        <v/>
      </c>
    </row>
    <row r="93">
      <c r="R93" s="13">
        <f>IF(Master!D97="","",Master!D97)</f>
        <v/>
      </c>
    </row>
    <row r="94">
      <c r="R94" s="13">
        <f>IF(Master!D98="","",Master!D98)</f>
        <v/>
      </c>
    </row>
    <row r="95">
      <c r="R95" s="13">
        <f>IF(Master!D99="","",Master!D99)</f>
        <v/>
      </c>
    </row>
    <row r="96">
      <c r="R96" s="13">
        <f>IF(Master!D100="","",Master!D100)</f>
        <v/>
      </c>
    </row>
    <row r="97">
      <c r="R97" s="13">
        <f>IF(Master!D101="","",Master!D101)</f>
        <v/>
      </c>
    </row>
    <row r="98">
      <c r="R98" s="13">
        <f>IF(Master!D102="","",Master!D102)</f>
        <v/>
      </c>
    </row>
    <row r="99">
      <c r="R99" s="13">
        <f>IF(Master!D103="","",Master!D103)</f>
        <v/>
      </c>
    </row>
    <row r="100">
      <c r="R100" s="13">
        <f>IF(Master!D104="","",Master!D104)</f>
        <v/>
      </c>
    </row>
  </sheetData>
  <mergeCells count="3">
    <mergeCell ref="E2:P2"/>
    <mergeCell ref="A1:P1"/>
    <mergeCell ref="B2:C2"/>
  </mergeCells>
  <dataValidations count="3">
    <dataValidation type="list" allowBlank="1" showInputMessage="1" showErrorMessage="1" sqref="B5:B64">
      <formula1>"POTATO,ONION,TOMATO,GARLIC (LASUN),GINGER (ADRAK),GREEN CHILLY,FAFADA MIRCH,CORIANDER (DHANIYA),KOBICH,GAULI FLOWER,BINAPATTE KA FLOWER,LAUKI,BHINDI,BRINJAL,TINDORA,PARVAL,TURIYA,SIMLA MIRCH,FANSI,GUVAR,SARAGVA SING,GREEN PEACE,KATARGAM PAP,WHITE PUMPKIN,LEMON,CARROT (RED),CARROT (ORANGE),KAKDI,MOOLI,BEETROOT,CORN (MAKKAI),METHI,PALAK,PUDINA,KADI PATTA,GREEN ONION,KACCHA BANANA,RED SIMLA,YELLOW SIMLA,BROKALI,GREEN TEA,BABY CORN,LETTUCE,CELERY,PARSLEY,BASIL,FROZEN GARLIC,FROZEN MATAR,FROZEN CORN,JHUGUI,APPLE,ORANGE,GUAVA,CHIKU,BANANA,PLUMS,POME GRANATE,GRAPS,WATER MELON,PAPAYA,MOSAMBI,MUSK MELON,MANGO / STRAWBERRY,PINEAPPLE,NARIYAL PANI,PANIPURI,COLD DRINK,BUTTER,CHEESE,PANEER,BRADE,PAV BHAJI / DABELI PAV"</formula1>
    </dataValidation>
    <dataValidation type="list" allowBlank="1" showInputMessage="1" showErrorMessage="1" sqref="C5:C64">
      <formula1>"KG,DOZEN,PCS,GM,PACKET,BUNCH,BUNDLE,BOX,CRATE,LITRE,GUNI"</formula1>
    </dataValidation>
    <dataValidation type="list" allowBlank="1" showInputMessage="1" showErrorMessage="1" sqref="D4:O4">
      <formula1>$R$1:$R$100</formula1>
    </dataValidation>
  </dataValidations>
  <printOptions horizontalCentered="1"/>
  <pageMargins left="0.3" right="0.3" top="0.4" bottom="0.4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0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2" customWidth="1" min="3" max="3"/>
    <col width="30" customWidth="1" min="4" max="4"/>
    <col hidden="1" width="13" customWidth="1" min="6" max="6"/>
  </cols>
  <sheetData>
    <row r="1" ht="32" customHeight="1">
      <c r="A1" s="7" t="inlineStr">
        <is>
          <t>Price List - Mobile Gallery</t>
        </is>
      </c>
      <c r="F1" s="13">
        <f>IF(Master!D5="","",Master!D5)</f>
        <v/>
      </c>
    </row>
    <row r="2" ht="40" customHeight="1">
      <c r="A2" s="14" t="inlineStr">
        <is>
          <t>Date</t>
        </is>
      </c>
      <c r="B2" s="15" t="n"/>
      <c r="C2" s="14" t="inlineStr">
        <is>
          <t>Customer</t>
        </is>
      </c>
      <c r="D2" s="10" t="n"/>
      <c r="F2" s="13">
        <f>IF(Master!D6="","",Master!D6)</f>
        <v/>
      </c>
    </row>
    <row r="3" ht="8" customHeight="1">
      <c r="F3" s="13">
        <f>IF(Master!D7="","",Master!D7)</f>
        <v/>
      </c>
    </row>
    <row r="4" ht="30" customHeight="1">
      <c r="A4" s="3" t="inlineStr">
        <is>
          <t>SR</t>
        </is>
      </c>
      <c r="B4" s="3" t="inlineStr">
        <is>
          <t>ITEM</t>
        </is>
      </c>
      <c r="C4" s="3" t="inlineStr">
        <is>
          <t>UNIT</t>
        </is>
      </c>
      <c r="D4" s="3" t="inlineStr">
        <is>
          <t>RATE (Rs.)</t>
        </is>
      </c>
      <c r="F4" s="13">
        <f>IF(Master!D8="","",Master!D8)</f>
        <v/>
      </c>
    </row>
    <row r="5" ht="22" customHeight="1">
      <c r="A5" s="18" t="n">
        <v>1</v>
      </c>
      <c r="B5" s="10" t="n"/>
      <c r="C5" s="19">
        <f>IF(B5="","",IF(ISNA(MATCH(B5,Master!$G$5:$G$200,0)),"",INDEX(Master!$H$5:$H$200,MATCH(B5,Master!$G$5:$G$200,0))))</f>
        <v/>
      </c>
      <c r="D5" s="12">
        <f>IF(B5="","",IF(ISNA(MATCH(B5,Master!$G$5:$G$200,0)),"",INDEX(Master!$I$5:$I$200,MATCH(B5,Master!$G$5:$G$200,0))))</f>
        <v/>
      </c>
      <c r="F5" s="13">
        <f>IF(Master!D9="","",Master!D9)</f>
        <v/>
      </c>
    </row>
    <row r="6" ht="22" customHeight="1">
      <c r="A6" s="18" t="n">
        <v>2</v>
      </c>
      <c r="B6" s="10" t="n"/>
      <c r="C6" s="19">
        <f>IF(B6="","",IF(ISNA(MATCH(B6,Master!$G$5:$G$200,0)),"",INDEX(Master!$H$5:$H$200,MATCH(B6,Master!$G$5:$G$200,0))))</f>
        <v/>
      </c>
      <c r="D6" s="12">
        <f>IF(B6="","",IF(ISNA(MATCH(B6,Master!$G$5:$G$200,0)),"",INDEX(Master!$I$5:$I$200,MATCH(B6,Master!$G$5:$G$200,0))))</f>
        <v/>
      </c>
      <c r="F6" s="13">
        <f>IF(Master!D10="","",Master!D10)</f>
        <v/>
      </c>
    </row>
    <row r="7" ht="22" customHeight="1">
      <c r="A7" s="18" t="n">
        <v>3</v>
      </c>
      <c r="B7" s="10" t="n"/>
      <c r="C7" s="19">
        <f>IF(B7="","",IF(ISNA(MATCH(B7,Master!$G$5:$G$200,0)),"",INDEX(Master!$H$5:$H$200,MATCH(B7,Master!$G$5:$G$200,0))))</f>
        <v/>
      </c>
      <c r="D7" s="12">
        <f>IF(B7="","",IF(ISNA(MATCH(B7,Master!$G$5:$G$200,0)),"",INDEX(Master!$I$5:$I$200,MATCH(B7,Master!$G$5:$G$200,0))))</f>
        <v/>
      </c>
      <c r="F7" s="13">
        <f>IF(Master!D11="","",Master!D11)</f>
        <v/>
      </c>
    </row>
    <row r="8" ht="22" customHeight="1">
      <c r="A8" s="18" t="n">
        <v>4</v>
      </c>
      <c r="B8" s="10" t="n"/>
      <c r="C8" s="19">
        <f>IF(B8="","",IF(ISNA(MATCH(B8,Master!$G$5:$G$200,0)),"",INDEX(Master!$H$5:$H$200,MATCH(B8,Master!$G$5:$G$200,0))))</f>
        <v/>
      </c>
      <c r="D8" s="12">
        <f>IF(B8="","",IF(ISNA(MATCH(B8,Master!$G$5:$G$200,0)),"",INDEX(Master!$I$5:$I$200,MATCH(B8,Master!$G$5:$G$200,0))))</f>
        <v/>
      </c>
      <c r="F8" s="13">
        <f>IF(Master!D12="","",Master!D12)</f>
        <v/>
      </c>
    </row>
    <row r="9" ht="22" customHeight="1">
      <c r="A9" s="18" t="n">
        <v>5</v>
      </c>
      <c r="B9" s="10" t="n"/>
      <c r="C9" s="19">
        <f>IF(B9="","",IF(ISNA(MATCH(B9,Master!$G$5:$G$200,0)),"",INDEX(Master!$H$5:$H$200,MATCH(B9,Master!$G$5:$G$200,0))))</f>
        <v/>
      </c>
      <c r="D9" s="12">
        <f>IF(B9="","",IF(ISNA(MATCH(B9,Master!$G$5:$G$200,0)),"",INDEX(Master!$I$5:$I$200,MATCH(B9,Master!$G$5:$G$200,0))))</f>
        <v/>
      </c>
      <c r="F9" s="13">
        <f>IF(Master!D13="","",Master!D13)</f>
        <v/>
      </c>
    </row>
    <row r="10" ht="22" customHeight="1">
      <c r="A10" s="18" t="n">
        <v>6</v>
      </c>
      <c r="B10" s="10" t="n"/>
      <c r="C10" s="19">
        <f>IF(B10="","",IF(ISNA(MATCH(B10,Master!$G$5:$G$200,0)),"",INDEX(Master!$H$5:$H$200,MATCH(B10,Master!$G$5:$G$200,0))))</f>
        <v/>
      </c>
      <c r="D10" s="12">
        <f>IF(B10="","",IF(ISNA(MATCH(B10,Master!$G$5:$G$200,0)),"",INDEX(Master!$I$5:$I$200,MATCH(B10,Master!$G$5:$G$200,0))))</f>
        <v/>
      </c>
      <c r="F10" s="13">
        <f>IF(Master!D14="","",Master!D14)</f>
        <v/>
      </c>
    </row>
    <row r="11" ht="22" customHeight="1">
      <c r="A11" s="18" t="n">
        <v>7</v>
      </c>
      <c r="B11" s="10" t="n"/>
      <c r="C11" s="19">
        <f>IF(B11="","",IF(ISNA(MATCH(B11,Master!$G$5:$G$200,0)),"",INDEX(Master!$H$5:$H$200,MATCH(B11,Master!$G$5:$G$200,0))))</f>
        <v/>
      </c>
      <c r="D11" s="12">
        <f>IF(B11="","",IF(ISNA(MATCH(B11,Master!$G$5:$G$200,0)),"",INDEX(Master!$I$5:$I$200,MATCH(B11,Master!$G$5:$G$200,0))))</f>
        <v/>
      </c>
      <c r="F11" s="13">
        <f>IF(Master!D15="","",Master!D15)</f>
        <v/>
      </c>
    </row>
    <row r="12" ht="22" customHeight="1">
      <c r="A12" s="18" t="n">
        <v>8</v>
      </c>
      <c r="B12" s="10" t="n"/>
      <c r="C12" s="19">
        <f>IF(B12="","",IF(ISNA(MATCH(B12,Master!$G$5:$G$200,0)),"",INDEX(Master!$H$5:$H$200,MATCH(B12,Master!$G$5:$G$200,0))))</f>
        <v/>
      </c>
      <c r="D12" s="12">
        <f>IF(B12="","",IF(ISNA(MATCH(B12,Master!$G$5:$G$200,0)),"",INDEX(Master!$I$5:$I$200,MATCH(B12,Master!$G$5:$G$200,0))))</f>
        <v/>
      </c>
      <c r="F12" s="13">
        <f>IF(Master!D16="","",Master!D16)</f>
        <v/>
      </c>
    </row>
    <row r="13" ht="22" customHeight="1">
      <c r="A13" s="18" t="n">
        <v>9</v>
      </c>
      <c r="B13" s="10" t="n"/>
      <c r="C13" s="19">
        <f>IF(B13="","",IF(ISNA(MATCH(B13,Master!$G$5:$G$200,0)),"",INDEX(Master!$H$5:$H$200,MATCH(B13,Master!$G$5:$G$200,0))))</f>
        <v/>
      </c>
      <c r="D13" s="12">
        <f>IF(B13="","",IF(ISNA(MATCH(B13,Master!$G$5:$G$200,0)),"",INDEX(Master!$I$5:$I$200,MATCH(B13,Master!$G$5:$G$200,0))))</f>
        <v/>
      </c>
      <c r="F13" s="13">
        <f>IF(Master!D17="","",Master!D17)</f>
        <v/>
      </c>
    </row>
    <row r="14" ht="22" customHeight="1">
      <c r="A14" s="18" t="n">
        <v>10</v>
      </c>
      <c r="B14" s="10" t="n"/>
      <c r="C14" s="19">
        <f>IF(B14="","",IF(ISNA(MATCH(B14,Master!$G$5:$G$200,0)),"",INDEX(Master!$H$5:$H$200,MATCH(B14,Master!$G$5:$G$200,0))))</f>
        <v/>
      </c>
      <c r="D14" s="12">
        <f>IF(B14="","",IF(ISNA(MATCH(B14,Master!$G$5:$G$200,0)),"",INDEX(Master!$I$5:$I$200,MATCH(B14,Master!$G$5:$G$200,0))))</f>
        <v/>
      </c>
      <c r="F14" s="13">
        <f>IF(Master!D18="","",Master!D18)</f>
        <v/>
      </c>
    </row>
    <row r="15" ht="22" customHeight="1">
      <c r="A15" s="18" t="n">
        <v>11</v>
      </c>
      <c r="B15" s="10" t="n"/>
      <c r="C15" s="19">
        <f>IF(B15="","",IF(ISNA(MATCH(B15,Master!$G$5:$G$200,0)),"",INDEX(Master!$H$5:$H$200,MATCH(B15,Master!$G$5:$G$200,0))))</f>
        <v/>
      </c>
      <c r="D15" s="12">
        <f>IF(B15="","",IF(ISNA(MATCH(B15,Master!$G$5:$G$200,0)),"",INDEX(Master!$I$5:$I$200,MATCH(B15,Master!$G$5:$G$200,0))))</f>
        <v/>
      </c>
      <c r="F15" s="13">
        <f>IF(Master!D19="","",Master!D19)</f>
        <v/>
      </c>
    </row>
    <row r="16" ht="22" customHeight="1">
      <c r="A16" s="18" t="n">
        <v>12</v>
      </c>
      <c r="B16" s="10" t="n"/>
      <c r="C16" s="19">
        <f>IF(B16="","",IF(ISNA(MATCH(B16,Master!$G$5:$G$200,0)),"",INDEX(Master!$H$5:$H$200,MATCH(B16,Master!$G$5:$G$200,0))))</f>
        <v/>
      </c>
      <c r="D16" s="12">
        <f>IF(B16="","",IF(ISNA(MATCH(B16,Master!$G$5:$G$200,0)),"",INDEX(Master!$I$5:$I$200,MATCH(B16,Master!$G$5:$G$200,0))))</f>
        <v/>
      </c>
      <c r="F16" s="13">
        <f>IF(Master!D20="","",Master!D20)</f>
        <v/>
      </c>
    </row>
    <row r="17" ht="22" customHeight="1">
      <c r="A17" s="18" t="n">
        <v>13</v>
      </c>
      <c r="B17" s="10" t="n"/>
      <c r="C17" s="19">
        <f>IF(B17="","",IF(ISNA(MATCH(B17,Master!$G$5:$G$200,0)),"",INDEX(Master!$H$5:$H$200,MATCH(B17,Master!$G$5:$G$200,0))))</f>
        <v/>
      </c>
      <c r="D17" s="12">
        <f>IF(B17="","",IF(ISNA(MATCH(B17,Master!$G$5:$G$200,0)),"",INDEX(Master!$I$5:$I$200,MATCH(B17,Master!$G$5:$G$200,0))))</f>
        <v/>
      </c>
      <c r="F17" s="13">
        <f>IF(Master!D21="","",Master!D21)</f>
        <v/>
      </c>
    </row>
    <row r="18" ht="22" customHeight="1">
      <c r="A18" s="18" t="n">
        <v>14</v>
      </c>
      <c r="B18" s="10" t="n"/>
      <c r="C18" s="19">
        <f>IF(B18="","",IF(ISNA(MATCH(B18,Master!$G$5:$G$200,0)),"",INDEX(Master!$H$5:$H$200,MATCH(B18,Master!$G$5:$G$200,0))))</f>
        <v/>
      </c>
      <c r="D18" s="12">
        <f>IF(B18="","",IF(ISNA(MATCH(B18,Master!$G$5:$G$200,0)),"",INDEX(Master!$I$5:$I$200,MATCH(B18,Master!$G$5:$G$200,0))))</f>
        <v/>
      </c>
      <c r="F18" s="13">
        <f>IF(Master!D22="","",Master!D22)</f>
        <v/>
      </c>
    </row>
    <row r="19" ht="22" customHeight="1">
      <c r="A19" s="18" t="n">
        <v>15</v>
      </c>
      <c r="B19" s="10" t="n"/>
      <c r="C19" s="19">
        <f>IF(B19="","",IF(ISNA(MATCH(B19,Master!$G$5:$G$200,0)),"",INDEX(Master!$H$5:$H$200,MATCH(B19,Master!$G$5:$G$200,0))))</f>
        <v/>
      </c>
      <c r="D19" s="12">
        <f>IF(B19="","",IF(ISNA(MATCH(B19,Master!$G$5:$G$200,0)),"",INDEX(Master!$I$5:$I$200,MATCH(B19,Master!$G$5:$G$200,0))))</f>
        <v/>
      </c>
      <c r="F19" s="13">
        <f>IF(Master!D23="","",Master!D23)</f>
        <v/>
      </c>
    </row>
    <row r="20" ht="22" customHeight="1">
      <c r="A20" s="18" t="n">
        <v>16</v>
      </c>
      <c r="B20" s="10" t="n"/>
      <c r="C20" s="19">
        <f>IF(B20="","",IF(ISNA(MATCH(B20,Master!$G$5:$G$200,0)),"",INDEX(Master!$H$5:$H$200,MATCH(B20,Master!$G$5:$G$200,0))))</f>
        <v/>
      </c>
      <c r="D20" s="12">
        <f>IF(B20="","",IF(ISNA(MATCH(B20,Master!$G$5:$G$200,0)),"",INDEX(Master!$I$5:$I$200,MATCH(B20,Master!$G$5:$G$200,0))))</f>
        <v/>
      </c>
      <c r="F20" s="13">
        <f>IF(Master!D24="","",Master!D24)</f>
        <v/>
      </c>
    </row>
    <row r="21" ht="22" customHeight="1">
      <c r="A21" s="18" t="n">
        <v>17</v>
      </c>
      <c r="B21" s="10" t="n"/>
      <c r="C21" s="19">
        <f>IF(B21="","",IF(ISNA(MATCH(B21,Master!$G$5:$G$200,0)),"",INDEX(Master!$H$5:$H$200,MATCH(B21,Master!$G$5:$G$200,0))))</f>
        <v/>
      </c>
      <c r="D21" s="12">
        <f>IF(B21="","",IF(ISNA(MATCH(B21,Master!$G$5:$G$200,0)),"",INDEX(Master!$I$5:$I$200,MATCH(B21,Master!$G$5:$G$200,0))))</f>
        <v/>
      </c>
      <c r="F21" s="13">
        <f>IF(Master!D25="","",Master!D25)</f>
        <v/>
      </c>
    </row>
    <row r="22" ht="22" customHeight="1">
      <c r="A22" s="18" t="n">
        <v>18</v>
      </c>
      <c r="B22" s="10" t="n"/>
      <c r="C22" s="19">
        <f>IF(B22="","",IF(ISNA(MATCH(B22,Master!$G$5:$G$200,0)),"",INDEX(Master!$H$5:$H$200,MATCH(B22,Master!$G$5:$G$200,0))))</f>
        <v/>
      </c>
      <c r="D22" s="12">
        <f>IF(B22="","",IF(ISNA(MATCH(B22,Master!$G$5:$G$200,0)),"",INDEX(Master!$I$5:$I$200,MATCH(B22,Master!$G$5:$G$200,0))))</f>
        <v/>
      </c>
      <c r="F22" s="13">
        <f>IF(Master!D26="","",Master!D26)</f>
        <v/>
      </c>
    </row>
    <row r="23" ht="22" customHeight="1">
      <c r="A23" s="18" t="n">
        <v>19</v>
      </c>
      <c r="B23" s="10" t="n"/>
      <c r="C23" s="19">
        <f>IF(B23="","",IF(ISNA(MATCH(B23,Master!$G$5:$G$200,0)),"",INDEX(Master!$H$5:$H$200,MATCH(B23,Master!$G$5:$G$200,0))))</f>
        <v/>
      </c>
      <c r="D23" s="12">
        <f>IF(B23="","",IF(ISNA(MATCH(B23,Master!$G$5:$G$200,0)),"",INDEX(Master!$I$5:$I$200,MATCH(B23,Master!$G$5:$G$200,0))))</f>
        <v/>
      </c>
      <c r="F23" s="13">
        <f>IF(Master!D27="","",Master!D27)</f>
        <v/>
      </c>
    </row>
    <row r="24" ht="22" customHeight="1">
      <c r="A24" s="18" t="n">
        <v>20</v>
      </c>
      <c r="B24" s="10" t="n"/>
      <c r="C24" s="19">
        <f>IF(B24="","",IF(ISNA(MATCH(B24,Master!$G$5:$G$200,0)),"",INDEX(Master!$H$5:$H$200,MATCH(B24,Master!$G$5:$G$200,0))))</f>
        <v/>
      </c>
      <c r="D24" s="12">
        <f>IF(B24="","",IF(ISNA(MATCH(B24,Master!$G$5:$G$200,0)),"",INDEX(Master!$I$5:$I$200,MATCH(B24,Master!$G$5:$G$200,0))))</f>
        <v/>
      </c>
      <c r="F24" s="13">
        <f>IF(Master!D28="","",Master!D28)</f>
        <v/>
      </c>
    </row>
    <row r="25" ht="22" customHeight="1">
      <c r="A25" s="18" t="n">
        <v>21</v>
      </c>
      <c r="B25" s="10" t="n"/>
      <c r="C25" s="19">
        <f>IF(B25="","",IF(ISNA(MATCH(B25,Master!$G$5:$G$200,0)),"",INDEX(Master!$H$5:$H$200,MATCH(B25,Master!$G$5:$G$200,0))))</f>
        <v/>
      </c>
      <c r="D25" s="12">
        <f>IF(B25="","",IF(ISNA(MATCH(B25,Master!$G$5:$G$200,0)),"",INDEX(Master!$I$5:$I$200,MATCH(B25,Master!$G$5:$G$200,0))))</f>
        <v/>
      </c>
      <c r="F25" s="13">
        <f>IF(Master!D29="","",Master!D29)</f>
        <v/>
      </c>
    </row>
    <row r="26" ht="22" customHeight="1">
      <c r="A26" s="18" t="n">
        <v>22</v>
      </c>
      <c r="B26" s="10" t="n"/>
      <c r="C26" s="19">
        <f>IF(B26="","",IF(ISNA(MATCH(B26,Master!$G$5:$G$200,0)),"",INDEX(Master!$H$5:$H$200,MATCH(B26,Master!$G$5:$G$200,0))))</f>
        <v/>
      </c>
      <c r="D26" s="12">
        <f>IF(B26="","",IF(ISNA(MATCH(B26,Master!$G$5:$G$200,0)),"",INDEX(Master!$I$5:$I$200,MATCH(B26,Master!$G$5:$G$200,0))))</f>
        <v/>
      </c>
      <c r="F26" s="13">
        <f>IF(Master!D30="","",Master!D30)</f>
        <v/>
      </c>
    </row>
    <row r="27" ht="22" customHeight="1">
      <c r="A27" s="18" t="n">
        <v>23</v>
      </c>
      <c r="B27" s="10" t="n"/>
      <c r="C27" s="19">
        <f>IF(B27="","",IF(ISNA(MATCH(B27,Master!$G$5:$G$200,0)),"",INDEX(Master!$H$5:$H$200,MATCH(B27,Master!$G$5:$G$200,0))))</f>
        <v/>
      </c>
      <c r="D27" s="12">
        <f>IF(B27="","",IF(ISNA(MATCH(B27,Master!$G$5:$G$200,0)),"",INDEX(Master!$I$5:$I$200,MATCH(B27,Master!$G$5:$G$200,0))))</f>
        <v/>
      </c>
      <c r="F27" s="13">
        <f>IF(Master!D31="","",Master!D31)</f>
        <v/>
      </c>
    </row>
    <row r="28" ht="22" customHeight="1">
      <c r="A28" s="18" t="n">
        <v>24</v>
      </c>
      <c r="B28" s="10" t="n"/>
      <c r="C28" s="19">
        <f>IF(B28="","",IF(ISNA(MATCH(B28,Master!$G$5:$G$200,0)),"",INDEX(Master!$H$5:$H$200,MATCH(B28,Master!$G$5:$G$200,0))))</f>
        <v/>
      </c>
      <c r="D28" s="12">
        <f>IF(B28="","",IF(ISNA(MATCH(B28,Master!$G$5:$G$200,0)),"",INDEX(Master!$I$5:$I$200,MATCH(B28,Master!$G$5:$G$200,0))))</f>
        <v/>
      </c>
      <c r="F28" s="13">
        <f>IF(Master!D32="","",Master!D32)</f>
        <v/>
      </c>
    </row>
    <row r="29" ht="22" customHeight="1">
      <c r="A29" s="18" t="n">
        <v>25</v>
      </c>
      <c r="B29" s="10" t="n"/>
      <c r="C29" s="19">
        <f>IF(B29="","",IF(ISNA(MATCH(B29,Master!$G$5:$G$200,0)),"",INDEX(Master!$H$5:$H$200,MATCH(B29,Master!$G$5:$G$200,0))))</f>
        <v/>
      </c>
      <c r="D29" s="12">
        <f>IF(B29="","",IF(ISNA(MATCH(B29,Master!$G$5:$G$200,0)),"",INDEX(Master!$I$5:$I$200,MATCH(B29,Master!$G$5:$G$200,0))))</f>
        <v/>
      </c>
      <c r="F29" s="13">
        <f>IF(Master!D33="","",Master!D33)</f>
        <v/>
      </c>
    </row>
    <row r="30" ht="22" customHeight="1">
      <c r="A30" s="18" t="n">
        <v>26</v>
      </c>
      <c r="B30" s="10" t="n"/>
      <c r="C30" s="19">
        <f>IF(B30="","",IF(ISNA(MATCH(B30,Master!$G$5:$G$200,0)),"",INDEX(Master!$H$5:$H$200,MATCH(B30,Master!$G$5:$G$200,0))))</f>
        <v/>
      </c>
      <c r="D30" s="12">
        <f>IF(B30="","",IF(ISNA(MATCH(B30,Master!$G$5:$G$200,0)),"",INDEX(Master!$I$5:$I$200,MATCH(B30,Master!$G$5:$G$200,0))))</f>
        <v/>
      </c>
      <c r="F30" s="13">
        <f>IF(Master!D34="","",Master!D34)</f>
        <v/>
      </c>
    </row>
    <row r="31" ht="22" customHeight="1">
      <c r="A31" s="18" t="n">
        <v>27</v>
      </c>
      <c r="B31" s="10" t="n"/>
      <c r="C31" s="19">
        <f>IF(B31="","",IF(ISNA(MATCH(B31,Master!$G$5:$G$200,0)),"",INDEX(Master!$H$5:$H$200,MATCH(B31,Master!$G$5:$G$200,0))))</f>
        <v/>
      </c>
      <c r="D31" s="12">
        <f>IF(B31="","",IF(ISNA(MATCH(B31,Master!$G$5:$G$200,0)),"",INDEX(Master!$I$5:$I$200,MATCH(B31,Master!$G$5:$G$200,0))))</f>
        <v/>
      </c>
      <c r="F31" s="13">
        <f>IF(Master!D35="","",Master!D35)</f>
        <v/>
      </c>
    </row>
    <row r="32" ht="22" customHeight="1">
      <c r="A32" s="18" t="n">
        <v>28</v>
      </c>
      <c r="B32" s="10" t="n"/>
      <c r="C32" s="19">
        <f>IF(B32="","",IF(ISNA(MATCH(B32,Master!$G$5:$G$200,0)),"",INDEX(Master!$H$5:$H$200,MATCH(B32,Master!$G$5:$G$200,0))))</f>
        <v/>
      </c>
      <c r="D32" s="12">
        <f>IF(B32="","",IF(ISNA(MATCH(B32,Master!$G$5:$G$200,0)),"",INDEX(Master!$I$5:$I$200,MATCH(B32,Master!$G$5:$G$200,0))))</f>
        <v/>
      </c>
      <c r="F32" s="13">
        <f>IF(Master!D36="","",Master!D36)</f>
        <v/>
      </c>
    </row>
    <row r="33" ht="22" customHeight="1">
      <c r="A33" s="18" t="n">
        <v>29</v>
      </c>
      <c r="B33" s="10" t="n"/>
      <c r="C33" s="19">
        <f>IF(B33="","",IF(ISNA(MATCH(B33,Master!$G$5:$G$200,0)),"",INDEX(Master!$H$5:$H$200,MATCH(B33,Master!$G$5:$G$200,0))))</f>
        <v/>
      </c>
      <c r="D33" s="12">
        <f>IF(B33="","",IF(ISNA(MATCH(B33,Master!$G$5:$G$200,0)),"",INDEX(Master!$I$5:$I$200,MATCH(B33,Master!$G$5:$G$200,0))))</f>
        <v/>
      </c>
      <c r="F33" s="13">
        <f>IF(Master!D37="","",Master!D37)</f>
        <v/>
      </c>
    </row>
    <row r="34" ht="22" customHeight="1">
      <c r="A34" s="18" t="n">
        <v>30</v>
      </c>
      <c r="B34" s="10" t="n"/>
      <c r="C34" s="19">
        <f>IF(B34="","",IF(ISNA(MATCH(B34,Master!$G$5:$G$200,0)),"",INDEX(Master!$H$5:$H$200,MATCH(B34,Master!$G$5:$G$200,0))))</f>
        <v/>
      </c>
      <c r="D34" s="12">
        <f>IF(B34="","",IF(ISNA(MATCH(B34,Master!$G$5:$G$200,0)),"",INDEX(Master!$I$5:$I$200,MATCH(B34,Master!$G$5:$G$200,0))))</f>
        <v/>
      </c>
      <c r="F34" s="13">
        <f>IF(Master!D38="","",Master!D38)</f>
        <v/>
      </c>
    </row>
    <row r="35">
      <c r="F35" s="13">
        <f>IF(Master!D39="","",Master!D39)</f>
        <v/>
      </c>
    </row>
    <row r="36" ht="32" customHeight="1">
      <c r="A36" s="21" t="inlineStr">
        <is>
          <t>Rate auto-fills from Master. Type over any rate cell to quote a different price for this customer only.</t>
        </is>
      </c>
      <c r="F36" s="13">
        <f>IF(Master!D40="","",Master!D40)</f>
        <v/>
      </c>
    </row>
    <row r="37">
      <c r="F37" s="13">
        <f>IF(Master!D41="","",Master!D41)</f>
        <v/>
      </c>
    </row>
    <row r="38">
      <c r="F38" s="13">
        <f>IF(Master!D42="","",Master!D42)</f>
        <v/>
      </c>
    </row>
    <row r="39">
      <c r="F39" s="13">
        <f>IF(Master!D43="","",Master!D43)</f>
        <v/>
      </c>
    </row>
    <row r="40">
      <c r="F40" s="13">
        <f>IF(Master!D44="","",Master!D44)</f>
        <v/>
      </c>
    </row>
    <row r="41">
      <c r="F41" s="13">
        <f>IF(Master!D45="","",Master!D45)</f>
        <v/>
      </c>
    </row>
    <row r="42">
      <c r="F42" s="13">
        <f>IF(Master!D46="","",Master!D46)</f>
        <v/>
      </c>
    </row>
    <row r="43">
      <c r="F43" s="13">
        <f>IF(Master!D47="","",Master!D47)</f>
        <v/>
      </c>
    </row>
    <row r="44">
      <c r="F44" s="13">
        <f>IF(Master!D48="","",Master!D48)</f>
        <v/>
      </c>
    </row>
    <row r="45">
      <c r="F45" s="13">
        <f>IF(Master!D49="","",Master!D49)</f>
        <v/>
      </c>
    </row>
    <row r="46">
      <c r="F46" s="13">
        <f>IF(Master!D50="","",Master!D50)</f>
        <v/>
      </c>
    </row>
    <row r="47">
      <c r="F47" s="13">
        <f>IF(Master!D51="","",Master!D51)</f>
        <v/>
      </c>
    </row>
    <row r="48">
      <c r="F48" s="13">
        <f>IF(Master!D52="","",Master!D52)</f>
        <v/>
      </c>
    </row>
    <row r="49">
      <c r="F49" s="13">
        <f>IF(Master!D53="","",Master!D53)</f>
        <v/>
      </c>
    </row>
    <row r="50">
      <c r="F50" s="13">
        <f>IF(Master!D54="","",Master!D54)</f>
        <v/>
      </c>
    </row>
    <row r="51">
      <c r="F51" s="13">
        <f>IF(Master!D55="","",Master!D55)</f>
        <v/>
      </c>
    </row>
    <row r="52">
      <c r="F52" s="13">
        <f>IF(Master!D56="","",Master!D56)</f>
        <v/>
      </c>
    </row>
    <row r="53">
      <c r="F53" s="13">
        <f>IF(Master!D57="","",Master!D57)</f>
        <v/>
      </c>
    </row>
    <row r="54">
      <c r="F54" s="13">
        <f>IF(Master!D58="","",Master!D58)</f>
        <v/>
      </c>
    </row>
    <row r="55">
      <c r="F55" s="13">
        <f>IF(Master!D59="","",Master!D59)</f>
        <v/>
      </c>
    </row>
    <row r="56">
      <c r="F56" s="13">
        <f>IF(Master!D60="","",Master!D60)</f>
        <v/>
      </c>
    </row>
    <row r="57">
      <c r="F57" s="13">
        <f>IF(Master!D61="","",Master!D61)</f>
        <v/>
      </c>
    </row>
    <row r="58">
      <c r="F58" s="13">
        <f>IF(Master!D62="","",Master!D62)</f>
        <v/>
      </c>
    </row>
    <row r="59">
      <c r="F59" s="13">
        <f>IF(Master!D63="","",Master!D63)</f>
        <v/>
      </c>
    </row>
    <row r="60">
      <c r="F60" s="13">
        <f>IF(Master!D64="","",Master!D64)</f>
        <v/>
      </c>
    </row>
    <row r="61">
      <c r="F61" s="13">
        <f>IF(Master!D65="","",Master!D65)</f>
        <v/>
      </c>
    </row>
    <row r="62">
      <c r="F62" s="13">
        <f>IF(Master!D66="","",Master!D66)</f>
        <v/>
      </c>
    </row>
    <row r="63">
      <c r="F63" s="13">
        <f>IF(Master!D67="","",Master!D67)</f>
        <v/>
      </c>
    </row>
    <row r="64">
      <c r="F64" s="13">
        <f>IF(Master!D68="","",Master!D68)</f>
        <v/>
      </c>
    </row>
    <row r="65">
      <c r="F65" s="13">
        <f>IF(Master!D69="","",Master!D69)</f>
        <v/>
      </c>
    </row>
    <row r="66">
      <c r="F66" s="13">
        <f>IF(Master!D70="","",Master!D70)</f>
        <v/>
      </c>
    </row>
    <row r="67">
      <c r="F67" s="13">
        <f>IF(Master!D71="","",Master!D71)</f>
        <v/>
      </c>
    </row>
    <row r="68">
      <c r="F68" s="13">
        <f>IF(Master!D72="","",Master!D72)</f>
        <v/>
      </c>
    </row>
    <row r="69">
      <c r="F69" s="13">
        <f>IF(Master!D73="","",Master!D73)</f>
        <v/>
      </c>
    </row>
    <row r="70">
      <c r="F70" s="13">
        <f>IF(Master!D74="","",Master!D74)</f>
        <v/>
      </c>
    </row>
    <row r="71">
      <c r="F71" s="13">
        <f>IF(Master!D75="","",Master!D75)</f>
        <v/>
      </c>
    </row>
    <row r="72">
      <c r="F72" s="13">
        <f>IF(Master!D76="","",Master!D76)</f>
        <v/>
      </c>
    </row>
    <row r="73">
      <c r="F73" s="13">
        <f>IF(Master!D77="","",Master!D77)</f>
        <v/>
      </c>
    </row>
    <row r="74">
      <c r="F74" s="13">
        <f>IF(Master!D78="","",Master!D78)</f>
        <v/>
      </c>
    </row>
    <row r="75">
      <c r="F75" s="13">
        <f>IF(Master!D79="","",Master!D79)</f>
        <v/>
      </c>
    </row>
    <row r="76">
      <c r="F76" s="13">
        <f>IF(Master!D80="","",Master!D80)</f>
        <v/>
      </c>
    </row>
    <row r="77">
      <c r="F77" s="13">
        <f>IF(Master!D81="","",Master!D81)</f>
        <v/>
      </c>
    </row>
    <row r="78">
      <c r="F78" s="13">
        <f>IF(Master!D82="","",Master!D82)</f>
        <v/>
      </c>
    </row>
    <row r="79">
      <c r="F79" s="13">
        <f>IF(Master!D83="","",Master!D83)</f>
        <v/>
      </c>
    </row>
    <row r="80">
      <c r="F80" s="13">
        <f>IF(Master!D84="","",Master!D84)</f>
        <v/>
      </c>
    </row>
    <row r="81">
      <c r="F81" s="13">
        <f>IF(Master!D85="","",Master!D85)</f>
        <v/>
      </c>
    </row>
    <row r="82">
      <c r="F82" s="13">
        <f>IF(Master!D86="","",Master!D86)</f>
        <v/>
      </c>
    </row>
    <row r="83">
      <c r="F83" s="13">
        <f>IF(Master!D87="","",Master!D87)</f>
        <v/>
      </c>
    </row>
    <row r="84">
      <c r="F84" s="13">
        <f>IF(Master!D88="","",Master!D88)</f>
        <v/>
      </c>
    </row>
    <row r="85">
      <c r="F85" s="13">
        <f>IF(Master!D89="","",Master!D89)</f>
        <v/>
      </c>
    </row>
    <row r="86">
      <c r="F86" s="13">
        <f>IF(Master!D90="","",Master!D90)</f>
        <v/>
      </c>
    </row>
    <row r="87">
      <c r="F87" s="13">
        <f>IF(Master!D91="","",Master!D91)</f>
        <v/>
      </c>
    </row>
    <row r="88">
      <c r="F88" s="13">
        <f>IF(Master!D92="","",Master!D92)</f>
        <v/>
      </c>
    </row>
    <row r="89">
      <c r="F89" s="13">
        <f>IF(Master!D93="","",Master!D93)</f>
        <v/>
      </c>
    </row>
    <row r="90">
      <c r="F90" s="13">
        <f>IF(Master!D94="","",Master!D94)</f>
        <v/>
      </c>
    </row>
    <row r="91">
      <c r="F91" s="13">
        <f>IF(Master!D95="","",Master!D95)</f>
        <v/>
      </c>
    </row>
    <row r="92">
      <c r="F92" s="13">
        <f>IF(Master!D96="","",Master!D96)</f>
        <v/>
      </c>
    </row>
    <row r="93">
      <c r="F93" s="13">
        <f>IF(Master!D97="","",Master!D97)</f>
        <v/>
      </c>
    </row>
    <row r="94">
      <c r="F94" s="13">
        <f>IF(Master!D98="","",Master!D98)</f>
        <v/>
      </c>
    </row>
    <row r="95">
      <c r="F95" s="13">
        <f>IF(Master!D99="","",Master!D99)</f>
        <v/>
      </c>
    </row>
    <row r="96">
      <c r="F96" s="13">
        <f>IF(Master!D100="","",Master!D100)</f>
        <v/>
      </c>
    </row>
    <row r="97">
      <c r="F97" s="13">
        <f>IF(Master!D101="","",Master!D101)</f>
        <v/>
      </c>
    </row>
    <row r="98">
      <c r="F98" s="13">
        <f>IF(Master!D102="","",Master!D102)</f>
        <v/>
      </c>
    </row>
    <row r="99">
      <c r="F99" s="13">
        <f>IF(Master!D103="","",Master!D103)</f>
        <v/>
      </c>
    </row>
    <row r="100">
      <c r="F100" s="13">
        <f>IF(Master!D104="","",Master!D104)</f>
        <v/>
      </c>
    </row>
  </sheetData>
  <mergeCells count="2">
    <mergeCell ref="A1:D1"/>
    <mergeCell ref="A36:D36"/>
  </mergeCells>
  <dataValidations count="3">
    <dataValidation type="list" allowBlank="1" showInputMessage="1" showErrorMessage="1" sqref="B5:B34">
      <formula1>"POTATO,ONION,TOMATO,GARLIC (LASUN),GINGER (ADRAK),GREEN CHILLY,FAFADA MIRCH,CORIANDER (DHANIYA),KOBICH,GAULI FLOWER,BINAPATTE KA FLOWER,LAUKI,BHINDI,BRINJAL,TINDORA,PARVAL,TURIYA,SIMLA MIRCH,FANSI,GUVAR,SARAGVA SING,GREEN PEACE,KATARGAM PAP,WHITE PUMPKIN,LEMON,CARROT (RED),CARROT (ORANGE),KAKDI,MOOLI,BEETROOT,CORN (MAKKAI),METHI,PALAK,PUDINA,KADI PATTA,GREEN ONION,KACCHA BANANA,RED SIMLA,YELLOW SIMLA,BROKALI,GREEN TEA,BABY CORN,LETTUCE,CELERY,PARSLEY,BASIL,FROZEN GARLIC,FROZEN MATAR,FROZEN CORN,JHUGUI,APPLE,ORANGE,GUAVA,CHIKU,BANANA,PLUMS,POME GRANATE,GRAPS,WATER MELON,PAPAYA,MOSAMBI,MUSK MELON,MANGO / STRAWBERRY,PINEAPPLE,NARIYAL PANI,PANIPURI,COLD DRINK,BUTTER,CHEESE,PANEER,BRADE,PAV BHAJI / DABELI PAV"</formula1>
    </dataValidation>
    <dataValidation type="list" allowBlank="1" showInputMessage="1" showErrorMessage="1" sqref="C5:C34">
      <formula1>"KG,DOZEN,PCS,GM,PACKET,BUNCH,BUNDLE,BOX,CRATE,LITRE,GUNI"</formula1>
    </dataValidation>
    <dataValidation type="list" allowBlank="1" showInputMessage="1" showErrorMessage="1" sqref="D2">
      <formula1>$F$1:$F$100</formula1>
    </dataValidation>
  </dataValidations>
  <printOptions horizontalCentered="1"/>
  <pageMargins left="0.5" right="0.5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2026-08-21T05:08:19Z</dcterms:created>
  <dcterms:modified xmlns:dcterms="http://purl.org/dc/terms/" xmlns:xsi="http://www.w3.org/2001/XMLSchema-instance" xsi:type="dcterms:W3CDTF">2026-08-21T05:08:19Z</dcterms:modified>
</cp:coreProperties>
</file>