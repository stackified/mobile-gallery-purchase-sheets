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List'!$5:$5</definedName>
    <definedName name="_xlnm.Print_Area" localSheetId="2">'Purchase List'!$A$1:$P$65</definedName>
    <definedName name="_xlnm.Print_Titles" localSheetId="3">'Price Quote'!$1:$4</definedName>
    <definedName name="_xlnm.Print_Area" localSheetId="3">'Price Quote'!$A$1:$D$34</definedName>
    <definedName name="ClientList">OFFSET(Master!$B$5,0,0,MAX(1,COUNTA(Master!$B$5:$B$100)),1)</definedName>
    <definedName name="ItemList">OFFSET(Master!$E$5,0,0,MAX(1,COUNTA(Master!$E$5:$E$200)),1)</definedName>
    <definedName name="UnitList">OFFSET(Master!$I$5,0,0,MAX(1,COUNTA(Master!$I$5:$I$40)),1)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3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color rgb="0064748B"/>
      <sz val="10"/>
    </font>
    <font>
      <name val="Calibri"/>
      <color rgb="000F172A"/>
      <sz val="10"/>
    </font>
    <font>
      <name val="Calibri"/>
      <b val="1"/>
      <color rgb="00FFFFFF"/>
      <sz val="12"/>
    </font>
    <font>
      <name val="Calibri"/>
      <b val="1"/>
      <color rgb="000F172A"/>
      <sz val="11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E0F2FE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100" customHeight="1">
      <c r="A5" s="4" t="inlineStr">
        <is>
          <t>Master sheet
मास्टर शीट</t>
        </is>
      </c>
      <c r="B5" s="5" t="inlineStr">
        <is>
          <t>Master holds codes, client names, categories, items, units and prices. Yellow cells are editable. Update prices here anytime - Price List picks them up automatically.</t>
        </is>
      </c>
      <c r="C5" s="6" t="inlineStr">
        <is>
          <t>मास्टर में code, ग्राहक नाम, category, चीज़ें, यूनिट और रेट हैं। पीले खाने बदल सकते हैं। यहाँ रेट बदलो - Price List में अपने आप आ जाएगा।</t>
        </is>
      </c>
    </row>
    <row r="6" ht="100" customHeight="1">
      <c r="A6" s="4" t="inlineStr">
        <is>
          <t>Purchase List - client row
खरीदी लिस्ट का ग्राहक भाग</t>
        </is>
      </c>
      <c r="B6" s="5" t="inlineStr">
        <is>
          <t>Row 4 is the yellow "client selector" row. Click any of the yellow cells and pick a client from the dropdown - the dropdown lists FULL client names. As soon as you pick a name, the dark header row below (row 5) shows that client's short CODE (e.g. FS, GDG). Quantities go in the item rows below.</t>
        </is>
      </c>
      <c r="C6" s="6" t="inlineStr">
        <is>
          <t>पंक्ति 4 पीली "ग्राहक चुनने वाली" पंक्ति है। पीले खाने पर क्लिक करके ड्रॉपडाउन से ग्राहक चुनो - ड्रॉपडाउन में ग्राहक का पूरा नाम आता है। नाम चुनते ही नीचे पंक्ति 5 (डार्क हैडर) में उसका short CODE (जैसे FS, GDG) दिख जाएगा। मात्रा नीचे item लाइन में लिखो।</t>
        </is>
      </c>
    </row>
    <row r="7" ht="100" customHeight="1">
      <c r="A7" s="4" t="inlineStr">
        <is>
          <t>Purchase List - items
खरीदी लिस्ट - चीज़ें</t>
        </is>
      </c>
      <c r="B7" s="5" t="inlineStr">
        <is>
          <t>For each item row (from row 6): pick ITEM from the dropdown, then type the quantity each client wants. UNIT and TOTAL fill automatically.</t>
        </is>
      </c>
      <c r="C7" s="6" t="inlineStr">
        <is>
          <t>हर item लाइन में (पंक्ति 6 से): ITEM ड्रॉपडाउन से चुनें, फिर हर ग्राहक की मात्रा लिखें। UNIT और TOTAL अपने आप।</t>
        </is>
      </c>
    </row>
    <row r="8" ht="100" customHeight="1">
      <c r="A8" s="4" t="inlineStr">
        <is>
          <t>Price List
प्राइस लिस्ट</t>
        </is>
      </c>
      <c r="B8" s="5" t="inlineStr">
        <is>
          <t>Fill Date and pick Customer from dropdown - customer field shows the full name. Pick items - rate auto-fills from Master. To quote a different price for this customer, type over the rate cell.</t>
        </is>
      </c>
      <c r="C8" s="6" t="inlineStr">
        <is>
          <t>तारीख भरें और ग्राहक ड्रॉपडाउन से चुनें - customer में पूरा नाम आएगा। चीज़ें चुनें - रेट मास्टर से आ जाएगा। अलग रेट बताना है तो रेट के खाने में ऊपर से नया नंबर लिख दो।</t>
        </is>
      </c>
    </row>
    <row r="9" ht="100" customHeight="1">
      <c r="A9" s="4" t="inlineStr">
        <is>
          <t>Update a price
रेट बदलें</t>
        </is>
      </c>
      <c r="B9" s="5" t="inlineStr">
        <is>
          <t>One step: Master sheet, column G. Any rate cell in Price List that you have NOT typed over updates automatically.</t>
        </is>
      </c>
      <c r="C9" s="6" t="inlineStr">
        <is>
          <t>एक कदम: मास्टर शीट, G कॉलम। Price List में जहाँ आपने खुद नहीं लिखा है वो अपने आप बदल जाएगा।</t>
        </is>
      </c>
    </row>
    <row r="10" ht="100" customHeight="1">
      <c r="A10" s="4" t="inlineStr">
        <is>
          <t>Add a NEW item / client
नयी चीज़ / ग्राहक</t>
        </is>
      </c>
      <c r="B10" s="5" t="inlineStr">
        <is>
          <t>One-time: just type it in the yellow cell. A warning may appear - click 'Yes' to keep it. Permanent (in dropdown): send us the new item / client and we'll rebuild the file.</t>
        </is>
      </c>
      <c r="C10" s="6" t="inlineStr">
        <is>
          <t>एक बार के लिए: पीले खाने में सीधे लिख दो। Warning आए तो 'Yes' दबा दो। पक्का ड्रॉपडाउन में जोड़ना है: हमें भेजो, फाइल फिर से बना देंगे।</t>
        </is>
      </c>
    </row>
    <row r="11" ht="100" customHeight="1">
      <c r="A11" s="4" t="inlineStr">
        <is>
          <t>Print
प्रिंट</t>
        </is>
      </c>
      <c r="B11" s="5" t="inlineStr">
        <is>
          <t>Ctrl + P. Purchase List prints landscape - the code row repeats on every page; the yellow selector row only appears on the first page. Price List prints portrait.</t>
        </is>
      </c>
      <c r="C11" s="6" t="inlineStr">
        <is>
          <t>Ctrl + P दबाओ। खरीदी लिस्ट landscape - CODE वाली पंक्ति हर पन्ने पर आएगी, पीली selector पंक्ति सिर्फ पहले पन्ने पर। प्राइस लिस्ट portrait।</t>
        </is>
      </c>
    </row>
    <row r="12" ht="100" customHeight="1">
      <c r="A12" s="4" t="inlineStr">
        <is>
          <t>Save daily copy
रोज़ नई फाइल</t>
        </is>
      </c>
      <c r="B12" s="5" t="inlineStr">
        <is>
          <t>File &gt; Save As before starting a new day. Then clear the yellow cells. Master stays untouched.</t>
        </is>
      </c>
      <c r="C12" s="6" t="inlineStr">
        <is>
          <t>नए दिन से पहले File &gt; Save As। फिर पीले खाने खाली कर दो।</t>
        </is>
      </c>
    </row>
    <row r="13" ht="100" customHeight="1">
      <c r="A13" s="4" t="inlineStr">
        <is>
          <t>Colour guide
रंग समझें</t>
        </is>
      </c>
      <c r="B13" s="5" t="inlineStr">
        <is>
          <t>Yellow = editable.  Blue = auto-calculated.  Dark = header.</t>
        </is>
      </c>
      <c r="C13" s="6" t="inlineStr">
        <is>
          <t>पीला = बदल सकते हैं।  नीला = अपने आप।  गहरा = हैडर।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22" customHeight="1">
      <c r="A2" s="8" t="inlineStr">
        <is>
          <t>Yellow cells are editable. Update prices here anytime - Price List picks them up automatically.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</cols>
  <sheetData>
    <row r="1" ht="32" customHeight="1">
      <c r="A1" s="7" t="inlineStr">
        <is>
          <t>Purchase List - Mobile Gallery</t>
        </is>
      </c>
    </row>
    <row r="2" ht="24" customHeight="1">
      <c r="A2" s="12" t="inlineStr">
        <is>
          <t>Date</t>
        </is>
      </c>
      <c r="B2" s="13" t="n"/>
      <c r="C2" s="14" t="n"/>
      <c r="D2" s="12" t="inlineStr">
        <is>
          <t>Notes</t>
        </is>
      </c>
      <c r="E2" s="10" t="n"/>
    </row>
    <row r="3" ht="8" customHeight="1"/>
    <row r="4" ht="44" customHeight="1">
      <c r="A4" s="15" t="inlineStr">
        <is>
          <t>Pick clients -&gt;</t>
        </is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7" t="n"/>
    </row>
    <row r="5" ht="30" customHeight="1">
      <c r="A5" s="3" t="inlineStr">
        <is>
          <t>SR</t>
        </is>
      </c>
      <c r="B5" s="3" t="inlineStr">
        <is>
          <t>ITEM</t>
        </is>
      </c>
      <c r="C5" s="3" t="inlineStr">
        <is>
          <t>UNIT</t>
        </is>
      </c>
      <c r="D5" s="18">
        <f>IF(D4="","",IF(ISNA(MATCH(D4,Master!$B$5:$B$100,0)),"",INDEX(Master!$A$5:$A$100,MATCH(D4,Master!$B$5:$B$100,0))))</f>
        <v/>
      </c>
      <c r="E5" s="18">
        <f>IF(E4="","",IF(ISNA(MATCH(E4,Master!$B$5:$B$100,0)),"",INDEX(Master!$A$5:$A$100,MATCH(E4,Master!$B$5:$B$100,0))))</f>
        <v/>
      </c>
      <c r="F5" s="18">
        <f>IF(F4="","",IF(ISNA(MATCH(F4,Master!$B$5:$B$100,0)),"",INDEX(Master!$A$5:$A$100,MATCH(F4,Master!$B$5:$B$100,0))))</f>
        <v/>
      </c>
      <c r="G5" s="18">
        <f>IF(G4="","",IF(ISNA(MATCH(G4,Master!$B$5:$B$100,0)),"",INDEX(Master!$A$5:$A$100,MATCH(G4,Master!$B$5:$B$100,0))))</f>
        <v/>
      </c>
      <c r="H5" s="18">
        <f>IF(H4="","",IF(ISNA(MATCH(H4,Master!$B$5:$B$100,0)),"",INDEX(Master!$A$5:$A$100,MATCH(H4,Master!$B$5:$B$100,0))))</f>
        <v/>
      </c>
      <c r="I5" s="18">
        <f>IF(I4="","",IF(ISNA(MATCH(I4,Master!$B$5:$B$100,0)),"",INDEX(Master!$A$5:$A$100,MATCH(I4,Master!$B$5:$B$100,0))))</f>
        <v/>
      </c>
      <c r="J5" s="18">
        <f>IF(J4="","",IF(ISNA(MATCH(J4,Master!$B$5:$B$100,0)),"",INDEX(Master!$A$5:$A$100,MATCH(J4,Master!$B$5:$B$100,0))))</f>
        <v/>
      </c>
      <c r="K5" s="18">
        <f>IF(K4="","",IF(ISNA(MATCH(K4,Master!$B$5:$B$100,0)),"",INDEX(Master!$A$5:$A$100,MATCH(K4,Master!$B$5:$B$100,0))))</f>
        <v/>
      </c>
      <c r="L5" s="18">
        <f>IF(L4="","",IF(ISNA(MATCH(L4,Master!$B$5:$B$100,0)),"",INDEX(Master!$A$5:$A$100,MATCH(L4,Master!$B$5:$B$100,0))))</f>
        <v/>
      </c>
      <c r="M5" s="18">
        <f>IF(M4="","",IF(ISNA(MATCH(M4,Master!$B$5:$B$100,0)),"",INDEX(Master!$A$5:$A$100,MATCH(M4,Master!$B$5:$B$100,0))))</f>
        <v/>
      </c>
      <c r="N5" s="18">
        <f>IF(N4="","",IF(ISNA(MATCH(N4,Master!$B$5:$B$100,0)),"",INDEX(Master!$A$5:$A$100,MATCH(N4,Master!$B$5:$B$100,0))))</f>
        <v/>
      </c>
      <c r="O5" s="18">
        <f>IF(O4="","",IF(ISNA(MATCH(O4,Master!$B$5:$B$100,0)),"",INDEX(Master!$A$5:$A$100,MATCH(O4,Master!$B$5:$B$100,0))))</f>
        <v/>
      </c>
      <c r="P5" s="3" t="inlineStr">
        <is>
          <t>TOTAL</t>
        </is>
      </c>
    </row>
    <row r="6" ht="22" customHeight="1">
      <c r="A6" s="19" t="n">
        <v>1</v>
      </c>
      <c r="B6" s="10" t="n"/>
      <c r="C6" s="20">
        <f>IF(B6="","",IF(ISNA(MATCH(B6,Master!$E$5:$E$200,0)),"",INDEX(Master!$F$5:$F$200,MATCH(B6,Master!$E$5:$E$200,0))))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21">
        <f>IF(SUM(D6:O6)=0,"",SUM(D6:O6))</f>
        <v/>
      </c>
    </row>
    <row r="7" ht="22" customHeight="1">
      <c r="A7" s="19" t="n">
        <v>2</v>
      </c>
      <c r="B7" s="10" t="n"/>
      <c r="C7" s="20">
        <f>IF(B7="","",IF(ISNA(MATCH(B7,Master!$E$5:$E$200,0)),"",INDEX(Master!$F$5:$F$200,MATCH(B7,Master!$E$5:$E$200,0))))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21">
        <f>IF(SUM(D7:O7)=0,"",SUM(D7:O7))</f>
        <v/>
      </c>
    </row>
    <row r="8" ht="22" customHeight="1">
      <c r="A8" s="19" t="n">
        <v>3</v>
      </c>
      <c r="B8" s="10" t="n"/>
      <c r="C8" s="20">
        <f>IF(B8="","",IF(ISNA(MATCH(B8,Master!$E$5:$E$200,0)),"",INDEX(Master!$F$5:$F$200,MATCH(B8,Master!$E$5:$E$200,0))))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21">
        <f>IF(SUM(D8:O8)=0,"",SUM(D8:O8))</f>
        <v/>
      </c>
    </row>
    <row r="9" ht="22" customHeight="1">
      <c r="A9" s="19" t="n">
        <v>4</v>
      </c>
      <c r="B9" s="10" t="n"/>
      <c r="C9" s="20">
        <f>IF(B9="","",IF(ISNA(MATCH(B9,Master!$E$5:$E$200,0)),"",INDEX(Master!$F$5:$F$200,MATCH(B9,Master!$E$5:$E$200,0))))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21">
        <f>IF(SUM(D9:O9)=0,"",SUM(D9:O9))</f>
        <v/>
      </c>
    </row>
    <row r="10" ht="22" customHeight="1">
      <c r="A10" s="19" t="n">
        <v>5</v>
      </c>
      <c r="B10" s="10" t="n"/>
      <c r="C10" s="20">
        <f>IF(B10="","",IF(ISNA(MATCH(B10,Master!$E$5:$E$200,0)),"",INDEX(Master!$F$5:$F$200,MATCH(B10,Master!$E$5:$E$200,0))))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21">
        <f>IF(SUM(D10:O10)=0,"",SUM(D10:O10))</f>
        <v/>
      </c>
    </row>
    <row r="11" ht="22" customHeight="1">
      <c r="A11" s="19" t="n">
        <v>6</v>
      </c>
      <c r="B11" s="10" t="n"/>
      <c r="C11" s="20">
        <f>IF(B11="","",IF(ISNA(MATCH(B11,Master!$E$5:$E$200,0)),"",INDEX(Master!$F$5:$F$200,MATCH(B11,Master!$E$5:$E$200,0))))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21">
        <f>IF(SUM(D11:O11)=0,"",SUM(D11:O11))</f>
        <v/>
      </c>
    </row>
    <row r="12" ht="22" customHeight="1">
      <c r="A12" s="19" t="n">
        <v>7</v>
      </c>
      <c r="B12" s="10" t="n"/>
      <c r="C12" s="20">
        <f>IF(B12="","",IF(ISNA(MATCH(B12,Master!$E$5:$E$200,0)),"",INDEX(Master!$F$5:$F$200,MATCH(B12,Master!$E$5:$E$200,0))))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21">
        <f>IF(SUM(D12:O12)=0,"",SUM(D12:O12))</f>
        <v/>
      </c>
    </row>
    <row r="13" ht="22" customHeight="1">
      <c r="A13" s="19" t="n">
        <v>8</v>
      </c>
      <c r="B13" s="10" t="n"/>
      <c r="C13" s="20">
        <f>IF(B13="","",IF(ISNA(MATCH(B13,Master!$E$5:$E$200,0)),"",INDEX(Master!$F$5:$F$200,MATCH(B13,Master!$E$5:$E$200,0))))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21">
        <f>IF(SUM(D13:O13)=0,"",SUM(D13:O13))</f>
        <v/>
      </c>
    </row>
    <row r="14" ht="22" customHeight="1">
      <c r="A14" s="19" t="n">
        <v>9</v>
      </c>
      <c r="B14" s="10" t="n"/>
      <c r="C14" s="20">
        <f>IF(B14="","",IF(ISNA(MATCH(B14,Master!$E$5:$E$200,0)),"",INDEX(Master!$F$5:$F$200,MATCH(B14,Master!$E$5:$E$200,0))))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21">
        <f>IF(SUM(D14:O14)=0,"",SUM(D14:O14))</f>
        <v/>
      </c>
    </row>
    <row r="15" ht="22" customHeight="1">
      <c r="A15" s="19" t="n">
        <v>10</v>
      </c>
      <c r="B15" s="10" t="n"/>
      <c r="C15" s="20">
        <f>IF(B15="","",IF(ISNA(MATCH(B15,Master!$E$5:$E$200,0)),"",INDEX(Master!$F$5:$F$200,MATCH(B15,Master!$E$5:$E$200,0))))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21">
        <f>IF(SUM(D15:O15)=0,"",SUM(D15:O15))</f>
        <v/>
      </c>
    </row>
    <row r="16" ht="22" customHeight="1">
      <c r="A16" s="19" t="n">
        <v>11</v>
      </c>
      <c r="B16" s="10" t="n"/>
      <c r="C16" s="20">
        <f>IF(B16="","",IF(ISNA(MATCH(B16,Master!$E$5:$E$200,0)),"",INDEX(Master!$F$5:$F$200,MATCH(B16,Master!$E$5:$E$200,0))))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21">
        <f>IF(SUM(D16:O16)=0,"",SUM(D16:O16))</f>
        <v/>
      </c>
    </row>
    <row r="17" ht="22" customHeight="1">
      <c r="A17" s="19" t="n">
        <v>12</v>
      </c>
      <c r="B17" s="10" t="n"/>
      <c r="C17" s="20">
        <f>IF(B17="","",IF(ISNA(MATCH(B17,Master!$E$5:$E$200,0)),"",INDEX(Master!$F$5:$F$200,MATCH(B17,Master!$E$5:$E$200,0))))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1">
        <f>IF(SUM(D17:O17)=0,"",SUM(D17:O17))</f>
        <v/>
      </c>
    </row>
    <row r="18" ht="22" customHeight="1">
      <c r="A18" s="19" t="n">
        <v>13</v>
      </c>
      <c r="B18" s="10" t="n"/>
      <c r="C18" s="20">
        <f>IF(B18="","",IF(ISNA(MATCH(B18,Master!$E$5:$E$200,0)),"",INDEX(Master!$F$5:$F$200,MATCH(B18,Master!$E$5:$E$200,0))))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21">
        <f>IF(SUM(D18:O18)=0,"",SUM(D18:O18))</f>
        <v/>
      </c>
    </row>
    <row r="19" ht="22" customHeight="1">
      <c r="A19" s="19" t="n">
        <v>14</v>
      </c>
      <c r="B19" s="10" t="n"/>
      <c r="C19" s="20">
        <f>IF(B19="","",IF(ISNA(MATCH(B19,Master!$E$5:$E$200,0)),"",INDEX(Master!$F$5:$F$200,MATCH(B19,Master!$E$5:$E$200,0))))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21">
        <f>IF(SUM(D19:O19)=0,"",SUM(D19:O19))</f>
        <v/>
      </c>
    </row>
    <row r="20" ht="22" customHeight="1">
      <c r="A20" s="19" t="n">
        <v>15</v>
      </c>
      <c r="B20" s="10" t="n"/>
      <c r="C20" s="20">
        <f>IF(B20="","",IF(ISNA(MATCH(B20,Master!$E$5:$E$200,0)),"",INDEX(Master!$F$5:$F$200,MATCH(B20,Master!$E$5:$E$200,0))))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21">
        <f>IF(SUM(D20:O20)=0,"",SUM(D20:O20))</f>
        <v/>
      </c>
    </row>
    <row r="21" ht="22" customHeight="1">
      <c r="A21" s="19" t="n">
        <v>16</v>
      </c>
      <c r="B21" s="10" t="n"/>
      <c r="C21" s="20">
        <f>IF(B21="","",IF(ISNA(MATCH(B21,Master!$E$5:$E$200,0)),"",INDEX(Master!$F$5:$F$200,MATCH(B21,Master!$E$5:$E$200,0))))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21">
        <f>IF(SUM(D21:O21)=0,"",SUM(D21:O21))</f>
        <v/>
      </c>
    </row>
    <row r="22" ht="22" customHeight="1">
      <c r="A22" s="19" t="n">
        <v>17</v>
      </c>
      <c r="B22" s="10" t="n"/>
      <c r="C22" s="20">
        <f>IF(B22="","",IF(ISNA(MATCH(B22,Master!$E$5:$E$200,0)),"",INDEX(Master!$F$5:$F$200,MATCH(B22,Master!$E$5:$E$200,0))))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21">
        <f>IF(SUM(D22:O22)=0,"",SUM(D22:O22))</f>
        <v/>
      </c>
    </row>
    <row r="23" ht="22" customHeight="1">
      <c r="A23" s="19" t="n">
        <v>18</v>
      </c>
      <c r="B23" s="10" t="n"/>
      <c r="C23" s="20">
        <f>IF(B23="","",IF(ISNA(MATCH(B23,Master!$E$5:$E$200,0)),"",INDEX(Master!$F$5:$F$200,MATCH(B23,Master!$E$5:$E$200,0))))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21">
        <f>IF(SUM(D23:O23)=0,"",SUM(D23:O23))</f>
        <v/>
      </c>
    </row>
    <row r="24" ht="22" customHeight="1">
      <c r="A24" s="19" t="n">
        <v>19</v>
      </c>
      <c r="B24" s="10" t="n"/>
      <c r="C24" s="20">
        <f>IF(B24="","",IF(ISNA(MATCH(B24,Master!$E$5:$E$200,0)),"",INDEX(Master!$F$5:$F$200,MATCH(B24,Master!$E$5:$E$200,0))))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21">
        <f>IF(SUM(D24:O24)=0,"",SUM(D24:O24))</f>
        <v/>
      </c>
    </row>
    <row r="25" ht="22" customHeight="1">
      <c r="A25" s="19" t="n">
        <v>20</v>
      </c>
      <c r="B25" s="10" t="n"/>
      <c r="C25" s="20">
        <f>IF(B25="","",IF(ISNA(MATCH(B25,Master!$E$5:$E$200,0)),"",INDEX(Master!$F$5:$F$200,MATCH(B25,Master!$E$5:$E$200,0))))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21">
        <f>IF(SUM(D25:O25)=0,"",SUM(D25:O25))</f>
        <v/>
      </c>
    </row>
    <row r="26" ht="22" customHeight="1">
      <c r="A26" s="19" t="n">
        <v>21</v>
      </c>
      <c r="B26" s="10" t="n"/>
      <c r="C26" s="20">
        <f>IF(B26="","",IF(ISNA(MATCH(B26,Master!$E$5:$E$200,0)),"",INDEX(Master!$F$5:$F$200,MATCH(B26,Master!$E$5:$E$200,0))))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21">
        <f>IF(SUM(D26:O26)=0,"",SUM(D26:O26))</f>
        <v/>
      </c>
    </row>
    <row r="27" ht="22" customHeight="1">
      <c r="A27" s="19" t="n">
        <v>22</v>
      </c>
      <c r="B27" s="10" t="n"/>
      <c r="C27" s="20">
        <f>IF(B27="","",IF(ISNA(MATCH(B27,Master!$E$5:$E$200,0)),"",INDEX(Master!$F$5:$F$200,MATCH(B27,Master!$E$5:$E$200,0))))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21">
        <f>IF(SUM(D27:O27)=0,"",SUM(D27:O27))</f>
        <v/>
      </c>
    </row>
    <row r="28" ht="22" customHeight="1">
      <c r="A28" s="19" t="n">
        <v>23</v>
      </c>
      <c r="B28" s="10" t="n"/>
      <c r="C28" s="20">
        <f>IF(B28="","",IF(ISNA(MATCH(B28,Master!$E$5:$E$200,0)),"",INDEX(Master!$F$5:$F$200,MATCH(B28,Master!$E$5:$E$200,0))))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21">
        <f>IF(SUM(D28:O28)=0,"",SUM(D28:O28))</f>
        <v/>
      </c>
    </row>
    <row r="29" ht="22" customHeight="1">
      <c r="A29" s="19" t="n">
        <v>24</v>
      </c>
      <c r="B29" s="10" t="n"/>
      <c r="C29" s="20">
        <f>IF(B29="","",IF(ISNA(MATCH(B29,Master!$E$5:$E$200,0)),"",INDEX(Master!$F$5:$F$200,MATCH(B29,Master!$E$5:$E$200,0))))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21">
        <f>IF(SUM(D29:O29)=0,"",SUM(D29:O29))</f>
        <v/>
      </c>
    </row>
    <row r="30" ht="22" customHeight="1">
      <c r="A30" s="19" t="n">
        <v>25</v>
      </c>
      <c r="B30" s="10" t="n"/>
      <c r="C30" s="20">
        <f>IF(B30="","",IF(ISNA(MATCH(B30,Master!$E$5:$E$200,0)),"",INDEX(Master!$F$5:$F$200,MATCH(B30,Master!$E$5:$E$200,0))))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21">
        <f>IF(SUM(D30:O30)=0,"",SUM(D30:O30))</f>
        <v/>
      </c>
    </row>
    <row r="31" ht="22" customHeight="1">
      <c r="A31" s="19" t="n">
        <v>26</v>
      </c>
      <c r="B31" s="10" t="n"/>
      <c r="C31" s="20">
        <f>IF(B31="","",IF(ISNA(MATCH(B31,Master!$E$5:$E$200,0)),"",INDEX(Master!$F$5:$F$200,MATCH(B31,Master!$E$5:$E$200,0))))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21">
        <f>IF(SUM(D31:O31)=0,"",SUM(D31:O31))</f>
        <v/>
      </c>
    </row>
    <row r="32" ht="22" customHeight="1">
      <c r="A32" s="19" t="n">
        <v>27</v>
      </c>
      <c r="B32" s="10" t="n"/>
      <c r="C32" s="20">
        <f>IF(B32="","",IF(ISNA(MATCH(B32,Master!$E$5:$E$200,0)),"",INDEX(Master!$F$5:$F$200,MATCH(B32,Master!$E$5:$E$200,0))))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21">
        <f>IF(SUM(D32:O32)=0,"",SUM(D32:O32))</f>
        <v/>
      </c>
    </row>
    <row r="33" ht="22" customHeight="1">
      <c r="A33" s="19" t="n">
        <v>28</v>
      </c>
      <c r="B33" s="10" t="n"/>
      <c r="C33" s="20">
        <f>IF(B33="","",IF(ISNA(MATCH(B33,Master!$E$5:$E$200,0)),"",INDEX(Master!$F$5:$F$200,MATCH(B33,Master!$E$5:$E$200,0))))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21">
        <f>IF(SUM(D33:O33)=0,"",SUM(D33:O33))</f>
        <v/>
      </c>
    </row>
    <row r="34" ht="22" customHeight="1">
      <c r="A34" s="19" t="n">
        <v>29</v>
      </c>
      <c r="B34" s="10" t="n"/>
      <c r="C34" s="20">
        <f>IF(B34="","",IF(ISNA(MATCH(B34,Master!$E$5:$E$200,0)),"",INDEX(Master!$F$5:$F$200,MATCH(B34,Master!$E$5:$E$200,0))))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21">
        <f>IF(SUM(D34:O34)=0,"",SUM(D34:O34))</f>
        <v/>
      </c>
    </row>
    <row r="35" ht="22" customHeight="1">
      <c r="A35" s="19" t="n">
        <v>30</v>
      </c>
      <c r="B35" s="10" t="n"/>
      <c r="C35" s="20">
        <f>IF(B35="","",IF(ISNA(MATCH(B35,Master!$E$5:$E$200,0)),"",INDEX(Master!$F$5:$F$200,MATCH(B35,Master!$E$5:$E$200,0))))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21">
        <f>IF(SUM(D35:O35)=0,"",SUM(D35:O35))</f>
        <v/>
      </c>
    </row>
    <row r="36" ht="22" customHeight="1">
      <c r="A36" s="19" t="n">
        <v>31</v>
      </c>
      <c r="B36" s="10" t="n"/>
      <c r="C36" s="20">
        <f>IF(B36="","",IF(ISNA(MATCH(B36,Master!$E$5:$E$200,0)),"",INDEX(Master!$F$5:$F$200,MATCH(B36,Master!$E$5:$E$200,0))))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21">
        <f>IF(SUM(D36:O36)=0,"",SUM(D36:O36))</f>
        <v/>
      </c>
    </row>
    <row r="37" ht="22" customHeight="1">
      <c r="A37" s="19" t="n">
        <v>32</v>
      </c>
      <c r="B37" s="10" t="n"/>
      <c r="C37" s="20">
        <f>IF(B37="","",IF(ISNA(MATCH(B37,Master!$E$5:$E$200,0)),"",INDEX(Master!$F$5:$F$200,MATCH(B37,Master!$E$5:$E$200,0))))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21">
        <f>IF(SUM(D37:O37)=0,"",SUM(D37:O37))</f>
        <v/>
      </c>
    </row>
    <row r="38" ht="22" customHeight="1">
      <c r="A38" s="19" t="n">
        <v>33</v>
      </c>
      <c r="B38" s="10" t="n"/>
      <c r="C38" s="20">
        <f>IF(B38="","",IF(ISNA(MATCH(B38,Master!$E$5:$E$200,0)),"",INDEX(Master!$F$5:$F$200,MATCH(B38,Master!$E$5:$E$200,0))))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21">
        <f>IF(SUM(D38:O38)=0,"",SUM(D38:O38))</f>
        <v/>
      </c>
    </row>
    <row r="39" ht="22" customHeight="1">
      <c r="A39" s="19" t="n">
        <v>34</v>
      </c>
      <c r="B39" s="10" t="n"/>
      <c r="C39" s="20">
        <f>IF(B39="","",IF(ISNA(MATCH(B39,Master!$E$5:$E$200,0)),"",INDEX(Master!$F$5:$F$200,MATCH(B39,Master!$E$5:$E$200,0))))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21">
        <f>IF(SUM(D39:O39)=0,"",SUM(D39:O39))</f>
        <v/>
      </c>
    </row>
    <row r="40" ht="22" customHeight="1">
      <c r="A40" s="19" t="n">
        <v>35</v>
      </c>
      <c r="B40" s="10" t="n"/>
      <c r="C40" s="20">
        <f>IF(B40="","",IF(ISNA(MATCH(B40,Master!$E$5:$E$200,0)),"",INDEX(Master!$F$5:$F$200,MATCH(B40,Master!$E$5:$E$200,0))))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21">
        <f>IF(SUM(D40:O40)=0,"",SUM(D40:O40))</f>
        <v/>
      </c>
    </row>
    <row r="41" ht="22" customHeight="1">
      <c r="A41" s="19" t="n">
        <v>36</v>
      </c>
      <c r="B41" s="10" t="n"/>
      <c r="C41" s="20">
        <f>IF(B41="","",IF(ISNA(MATCH(B41,Master!$E$5:$E$200,0)),"",INDEX(Master!$F$5:$F$200,MATCH(B41,Master!$E$5:$E$200,0))))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21">
        <f>IF(SUM(D41:O41)=0,"",SUM(D41:O41))</f>
        <v/>
      </c>
    </row>
    <row r="42" ht="22" customHeight="1">
      <c r="A42" s="19" t="n">
        <v>37</v>
      </c>
      <c r="B42" s="10" t="n"/>
      <c r="C42" s="20">
        <f>IF(B42="","",IF(ISNA(MATCH(B42,Master!$E$5:$E$200,0)),"",INDEX(Master!$F$5:$F$200,MATCH(B42,Master!$E$5:$E$200,0))))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21">
        <f>IF(SUM(D42:O42)=0,"",SUM(D42:O42))</f>
        <v/>
      </c>
    </row>
    <row r="43" ht="22" customHeight="1">
      <c r="A43" s="19" t="n">
        <v>38</v>
      </c>
      <c r="B43" s="10" t="n"/>
      <c r="C43" s="20">
        <f>IF(B43="","",IF(ISNA(MATCH(B43,Master!$E$5:$E$200,0)),"",INDEX(Master!$F$5:$F$200,MATCH(B43,Master!$E$5:$E$200,0))))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21">
        <f>IF(SUM(D43:O43)=0,"",SUM(D43:O43))</f>
        <v/>
      </c>
    </row>
    <row r="44" ht="22" customHeight="1">
      <c r="A44" s="19" t="n">
        <v>39</v>
      </c>
      <c r="B44" s="10" t="n"/>
      <c r="C44" s="20">
        <f>IF(B44="","",IF(ISNA(MATCH(B44,Master!$E$5:$E$200,0)),"",INDEX(Master!$F$5:$F$200,MATCH(B44,Master!$E$5:$E$200,0))))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21">
        <f>IF(SUM(D44:O44)=0,"",SUM(D44:O44))</f>
        <v/>
      </c>
    </row>
    <row r="45" ht="22" customHeight="1">
      <c r="A45" s="19" t="n">
        <v>40</v>
      </c>
      <c r="B45" s="10" t="n"/>
      <c r="C45" s="20">
        <f>IF(B45="","",IF(ISNA(MATCH(B45,Master!$E$5:$E$200,0)),"",INDEX(Master!$F$5:$F$200,MATCH(B45,Master!$E$5:$E$200,0))))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21">
        <f>IF(SUM(D45:O45)=0,"",SUM(D45:O45))</f>
        <v/>
      </c>
    </row>
    <row r="46" ht="22" customHeight="1">
      <c r="A46" s="19" t="n">
        <v>41</v>
      </c>
      <c r="B46" s="10" t="n"/>
      <c r="C46" s="20">
        <f>IF(B46="","",IF(ISNA(MATCH(B46,Master!$E$5:$E$200,0)),"",INDEX(Master!$F$5:$F$200,MATCH(B46,Master!$E$5:$E$200,0))))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21">
        <f>IF(SUM(D46:O46)=0,"",SUM(D46:O46))</f>
        <v/>
      </c>
    </row>
    <row r="47" ht="22" customHeight="1">
      <c r="A47" s="19" t="n">
        <v>42</v>
      </c>
      <c r="B47" s="10" t="n"/>
      <c r="C47" s="20">
        <f>IF(B47="","",IF(ISNA(MATCH(B47,Master!$E$5:$E$200,0)),"",INDEX(Master!$F$5:$F$200,MATCH(B47,Master!$E$5:$E$200,0))))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21">
        <f>IF(SUM(D47:O47)=0,"",SUM(D47:O47))</f>
        <v/>
      </c>
    </row>
    <row r="48" ht="22" customHeight="1">
      <c r="A48" s="19" t="n">
        <v>43</v>
      </c>
      <c r="B48" s="10" t="n"/>
      <c r="C48" s="20">
        <f>IF(B48="","",IF(ISNA(MATCH(B48,Master!$E$5:$E$200,0)),"",INDEX(Master!$F$5:$F$200,MATCH(B48,Master!$E$5:$E$200,0))))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21">
        <f>IF(SUM(D48:O48)=0,"",SUM(D48:O48))</f>
        <v/>
      </c>
    </row>
    <row r="49" ht="22" customHeight="1">
      <c r="A49" s="19" t="n">
        <v>44</v>
      </c>
      <c r="B49" s="10" t="n"/>
      <c r="C49" s="20">
        <f>IF(B49="","",IF(ISNA(MATCH(B49,Master!$E$5:$E$200,0)),"",INDEX(Master!$F$5:$F$200,MATCH(B49,Master!$E$5:$E$200,0))))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21">
        <f>IF(SUM(D49:O49)=0,"",SUM(D49:O49))</f>
        <v/>
      </c>
    </row>
    <row r="50" ht="22" customHeight="1">
      <c r="A50" s="19" t="n">
        <v>45</v>
      </c>
      <c r="B50" s="10" t="n"/>
      <c r="C50" s="20">
        <f>IF(B50="","",IF(ISNA(MATCH(B50,Master!$E$5:$E$200,0)),"",INDEX(Master!$F$5:$F$200,MATCH(B50,Master!$E$5:$E$200,0))))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21">
        <f>IF(SUM(D50:O50)=0,"",SUM(D50:O50))</f>
        <v/>
      </c>
    </row>
    <row r="51" ht="22" customHeight="1">
      <c r="A51" s="19" t="n">
        <v>46</v>
      </c>
      <c r="B51" s="10" t="n"/>
      <c r="C51" s="20">
        <f>IF(B51="","",IF(ISNA(MATCH(B51,Master!$E$5:$E$200,0)),"",INDEX(Master!$F$5:$F$200,MATCH(B51,Master!$E$5:$E$200,0))))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21">
        <f>IF(SUM(D51:O51)=0,"",SUM(D51:O51))</f>
        <v/>
      </c>
    </row>
    <row r="52" ht="22" customHeight="1">
      <c r="A52" s="19" t="n">
        <v>47</v>
      </c>
      <c r="B52" s="10" t="n"/>
      <c r="C52" s="20">
        <f>IF(B52="","",IF(ISNA(MATCH(B52,Master!$E$5:$E$200,0)),"",INDEX(Master!$F$5:$F$200,MATCH(B52,Master!$E$5:$E$200,0))))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21">
        <f>IF(SUM(D52:O52)=0,"",SUM(D52:O52))</f>
        <v/>
      </c>
    </row>
    <row r="53" ht="22" customHeight="1">
      <c r="A53" s="19" t="n">
        <v>48</v>
      </c>
      <c r="B53" s="10" t="n"/>
      <c r="C53" s="20">
        <f>IF(B53="","",IF(ISNA(MATCH(B53,Master!$E$5:$E$200,0)),"",INDEX(Master!$F$5:$F$200,MATCH(B53,Master!$E$5:$E$200,0))))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1">
        <f>IF(SUM(D53:O53)=0,"",SUM(D53:O53))</f>
        <v/>
      </c>
    </row>
    <row r="54" ht="22" customHeight="1">
      <c r="A54" s="19" t="n">
        <v>49</v>
      </c>
      <c r="B54" s="10" t="n"/>
      <c r="C54" s="20">
        <f>IF(B54="","",IF(ISNA(MATCH(B54,Master!$E$5:$E$200,0)),"",INDEX(Master!$F$5:$F$200,MATCH(B54,Master!$E$5:$E$200,0))))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21">
        <f>IF(SUM(D54:O54)=0,"",SUM(D54:O54))</f>
        <v/>
      </c>
    </row>
    <row r="55" ht="22" customHeight="1">
      <c r="A55" s="19" t="n">
        <v>50</v>
      </c>
      <c r="B55" s="10" t="n"/>
      <c r="C55" s="20">
        <f>IF(B55="","",IF(ISNA(MATCH(B55,Master!$E$5:$E$200,0)),"",INDEX(Master!$F$5:$F$200,MATCH(B55,Master!$E$5:$E$200,0))))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21">
        <f>IF(SUM(D55:O55)=0,"",SUM(D55:O55))</f>
        <v/>
      </c>
    </row>
    <row r="56" ht="22" customHeight="1">
      <c r="A56" s="19" t="n">
        <v>51</v>
      </c>
      <c r="B56" s="10" t="n"/>
      <c r="C56" s="20">
        <f>IF(B56="","",IF(ISNA(MATCH(B56,Master!$E$5:$E$200,0)),"",INDEX(Master!$F$5:$F$200,MATCH(B56,Master!$E$5:$E$200,0))))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21">
        <f>IF(SUM(D56:O56)=0,"",SUM(D56:O56))</f>
        <v/>
      </c>
    </row>
    <row r="57" ht="22" customHeight="1">
      <c r="A57" s="19" t="n">
        <v>52</v>
      </c>
      <c r="B57" s="10" t="n"/>
      <c r="C57" s="20">
        <f>IF(B57="","",IF(ISNA(MATCH(B57,Master!$E$5:$E$200,0)),"",INDEX(Master!$F$5:$F$200,MATCH(B57,Master!$E$5:$E$200,0))))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21">
        <f>IF(SUM(D57:O57)=0,"",SUM(D57:O57))</f>
        <v/>
      </c>
    </row>
    <row r="58" ht="22" customHeight="1">
      <c r="A58" s="19" t="n">
        <v>53</v>
      </c>
      <c r="B58" s="10" t="n"/>
      <c r="C58" s="20">
        <f>IF(B58="","",IF(ISNA(MATCH(B58,Master!$E$5:$E$200,0)),"",INDEX(Master!$F$5:$F$200,MATCH(B58,Master!$E$5:$E$200,0))))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21">
        <f>IF(SUM(D58:O58)=0,"",SUM(D58:O58))</f>
        <v/>
      </c>
    </row>
    <row r="59" ht="22" customHeight="1">
      <c r="A59" s="19" t="n">
        <v>54</v>
      </c>
      <c r="B59" s="10" t="n"/>
      <c r="C59" s="20">
        <f>IF(B59="","",IF(ISNA(MATCH(B59,Master!$E$5:$E$200,0)),"",INDEX(Master!$F$5:$F$200,MATCH(B59,Master!$E$5:$E$200,0))))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21">
        <f>IF(SUM(D59:O59)=0,"",SUM(D59:O59))</f>
        <v/>
      </c>
    </row>
    <row r="60" ht="22" customHeight="1">
      <c r="A60" s="19" t="n">
        <v>55</v>
      </c>
      <c r="B60" s="10" t="n"/>
      <c r="C60" s="20">
        <f>IF(B60="","",IF(ISNA(MATCH(B60,Master!$E$5:$E$200,0)),"",INDEX(Master!$F$5:$F$200,MATCH(B60,Master!$E$5:$E$200,0))))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21">
        <f>IF(SUM(D60:O60)=0,"",SUM(D60:O60))</f>
        <v/>
      </c>
    </row>
    <row r="61" ht="22" customHeight="1">
      <c r="A61" s="19" t="n">
        <v>56</v>
      </c>
      <c r="B61" s="10" t="n"/>
      <c r="C61" s="20">
        <f>IF(B61="","",IF(ISNA(MATCH(B61,Master!$E$5:$E$200,0)),"",INDEX(Master!$F$5:$F$200,MATCH(B61,Master!$E$5:$E$200,0))))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21">
        <f>IF(SUM(D61:O61)=0,"",SUM(D61:O61))</f>
        <v/>
      </c>
    </row>
    <row r="62" ht="22" customHeight="1">
      <c r="A62" s="19" t="n">
        <v>57</v>
      </c>
      <c r="B62" s="10" t="n"/>
      <c r="C62" s="20">
        <f>IF(B62="","",IF(ISNA(MATCH(B62,Master!$E$5:$E$200,0)),"",INDEX(Master!$F$5:$F$200,MATCH(B62,Master!$E$5:$E$200,0))))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21">
        <f>IF(SUM(D62:O62)=0,"",SUM(D62:O62))</f>
        <v/>
      </c>
    </row>
    <row r="63" ht="22" customHeight="1">
      <c r="A63" s="19" t="n">
        <v>58</v>
      </c>
      <c r="B63" s="10" t="n"/>
      <c r="C63" s="20">
        <f>IF(B63="","",IF(ISNA(MATCH(B63,Master!$E$5:$E$200,0)),"",INDEX(Master!$F$5:$F$200,MATCH(B63,Master!$E$5:$E$200,0))))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21">
        <f>IF(SUM(D63:O63)=0,"",SUM(D63:O63))</f>
        <v/>
      </c>
    </row>
    <row r="64" ht="22" customHeight="1">
      <c r="A64" s="19" t="n">
        <v>59</v>
      </c>
      <c r="B64" s="10" t="n"/>
      <c r="C64" s="20">
        <f>IF(B64="","",IF(ISNA(MATCH(B64,Master!$E$5:$E$200,0)),"",INDEX(Master!$F$5:$F$200,MATCH(B64,Master!$E$5:$E$200,0))))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21">
        <f>IF(SUM(D64:O64)=0,"",SUM(D64:O64))</f>
        <v/>
      </c>
    </row>
    <row r="65" ht="22" customHeight="1">
      <c r="A65" s="19" t="n">
        <v>60</v>
      </c>
      <c r="B65" s="10" t="n"/>
      <c r="C65" s="20">
        <f>IF(B65="","",IF(ISNA(MATCH(B65,Master!$E$5:$E$200,0)),"",INDEX(Master!$F$5:$F$200,MATCH(B65,Master!$E$5:$E$200,0))))</f>
        <v/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21">
        <f>IF(SUM(D65:O65)=0,"",SUM(D65:O65))</f>
        <v/>
      </c>
    </row>
  </sheetData>
  <mergeCells count="4">
    <mergeCell ref="E2:P2"/>
    <mergeCell ref="A4:C4"/>
    <mergeCell ref="A1:P1"/>
    <mergeCell ref="B2:C2"/>
  </mergeCells>
  <dataValidations count="3">
    <dataValidation type="list" allowBlank="1" showInputMessage="1" showErrorMessage="1" sqref="B6:B65">
      <formula1>ItemList</formula1>
    </dataValidation>
    <dataValidation type="list" allowBlank="1" showInputMessage="1" showErrorMessage="1" sqref="C6:C65">
      <formula1>UnitList</formula1>
    </dataValidation>
    <dataValidation type="list" allowBlank="1" showInputMessage="1" showErrorMessage="1" sqref="D4:O4">
      <formula1>ClientList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</cols>
  <sheetData>
    <row r="1" ht="32" customHeight="1">
      <c r="A1" s="7" t="inlineStr">
        <is>
          <t>Price List - Mobile Gallery</t>
        </is>
      </c>
    </row>
    <row r="2" ht="40" customHeight="1">
      <c r="A2" s="12" t="inlineStr">
        <is>
          <t>Date</t>
        </is>
      </c>
      <c r="B2" s="13" t="n"/>
      <c r="C2" s="12" t="inlineStr">
        <is>
          <t>Customer</t>
        </is>
      </c>
      <c r="D2" s="10" t="n"/>
    </row>
    <row r="3" ht="8" customHeight="1"/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</row>
    <row r="5" ht="22" customHeight="1">
      <c r="A5" s="19" t="n">
        <v>1</v>
      </c>
      <c r="B5" s="10" t="n"/>
      <c r="C5" s="20">
        <f>IF(B5="","",IF(ISNA(MATCH(B5,Master!$E$5:$E$200,0)),"",INDEX(Master!$F$5:$F$200,MATCH(B5,Master!$E$5:$E$200,0))))</f>
        <v/>
      </c>
      <c r="D5" s="11">
        <f>IF(B5="","",IF(ISNA(MATCH(B5,Master!$E$5:$E$200,0)),"",INDEX(Master!$G$5:$G$200,MATCH(B5,Master!$E$5:$E$200,0))))</f>
        <v/>
      </c>
    </row>
    <row r="6" ht="22" customHeight="1">
      <c r="A6" s="19" t="n">
        <v>2</v>
      </c>
      <c r="B6" s="10" t="n"/>
      <c r="C6" s="20">
        <f>IF(B6="","",IF(ISNA(MATCH(B6,Master!$E$5:$E$200,0)),"",INDEX(Master!$F$5:$F$200,MATCH(B6,Master!$E$5:$E$200,0))))</f>
        <v/>
      </c>
      <c r="D6" s="11">
        <f>IF(B6="","",IF(ISNA(MATCH(B6,Master!$E$5:$E$200,0)),"",INDEX(Master!$G$5:$G$200,MATCH(B6,Master!$E$5:$E$200,0))))</f>
        <v/>
      </c>
    </row>
    <row r="7" ht="22" customHeight="1">
      <c r="A7" s="19" t="n">
        <v>3</v>
      </c>
      <c r="B7" s="10" t="n"/>
      <c r="C7" s="20">
        <f>IF(B7="","",IF(ISNA(MATCH(B7,Master!$E$5:$E$200,0)),"",INDEX(Master!$F$5:$F$200,MATCH(B7,Master!$E$5:$E$200,0))))</f>
        <v/>
      </c>
      <c r="D7" s="11">
        <f>IF(B7="","",IF(ISNA(MATCH(B7,Master!$E$5:$E$200,0)),"",INDEX(Master!$G$5:$G$200,MATCH(B7,Master!$E$5:$E$200,0))))</f>
        <v/>
      </c>
    </row>
    <row r="8" ht="22" customHeight="1">
      <c r="A8" s="19" t="n">
        <v>4</v>
      </c>
      <c r="B8" s="10" t="n"/>
      <c r="C8" s="20">
        <f>IF(B8="","",IF(ISNA(MATCH(B8,Master!$E$5:$E$200,0)),"",INDEX(Master!$F$5:$F$200,MATCH(B8,Master!$E$5:$E$200,0))))</f>
        <v/>
      </c>
      <c r="D8" s="11">
        <f>IF(B8="","",IF(ISNA(MATCH(B8,Master!$E$5:$E$200,0)),"",INDEX(Master!$G$5:$G$200,MATCH(B8,Master!$E$5:$E$200,0))))</f>
        <v/>
      </c>
    </row>
    <row r="9" ht="22" customHeight="1">
      <c r="A9" s="19" t="n">
        <v>5</v>
      </c>
      <c r="B9" s="10" t="n"/>
      <c r="C9" s="20">
        <f>IF(B9="","",IF(ISNA(MATCH(B9,Master!$E$5:$E$200,0)),"",INDEX(Master!$F$5:$F$200,MATCH(B9,Master!$E$5:$E$200,0))))</f>
        <v/>
      </c>
      <c r="D9" s="11">
        <f>IF(B9="","",IF(ISNA(MATCH(B9,Master!$E$5:$E$200,0)),"",INDEX(Master!$G$5:$G$200,MATCH(B9,Master!$E$5:$E$200,0))))</f>
        <v/>
      </c>
    </row>
    <row r="10" ht="22" customHeight="1">
      <c r="A10" s="19" t="n">
        <v>6</v>
      </c>
      <c r="B10" s="10" t="n"/>
      <c r="C10" s="20">
        <f>IF(B10="","",IF(ISNA(MATCH(B10,Master!$E$5:$E$200,0)),"",INDEX(Master!$F$5:$F$200,MATCH(B10,Master!$E$5:$E$200,0))))</f>
        <v/>
      </c>
      <c r="D10" s="11">
        <f>IF(B10="","",IF(ISNA(MATCH(B10,Master!$E$5:$E$200,0)),"",INDEX(Master!$G$5:$G$200,MATCH(B10,Master!$E$5:$E$200,0))))</f>
        <v/>
      </c>
    </row>
    <row r="11" ht="22" customHeight="1">
      <c r="A11" s="19" t="n">
        <v>7</v>
      </c>
      <c r="B11" s="10" t="n"/>
      <c r="C11" s="20">
        <f>IF(B11="","",IF(ISNA(MATCH(B11,Master!$E$5:$E$200,0)),"",INDEX(Master!$F$5:$F$200,MATCH(B11,Master!$E$5:$E$200,0))))</f>
        <v/>
      </c>
      <c r="D11" s="11">
        <f>IF(B11="","",IF(ISNA(MATCH(B11,Master!$E$5:$E$200,0)),"",INDEX(Master!$G$5:$G$200,MATCH(B11,Master!$E$5:$E$200,0))))</f>
        <v/>
      </c>
    </row>
    <row r="12" ht="22" customHeight="1">
      <c r="A12" s="19" t="n">
        <v>8</v>
      </c>
      <c r="B12" s="10" t="n"/>
      <c r="C12" s="20">
        <f>IF(B12="","",IF(ISNA(MATCH(B12,Master!$E$5:$E$200,0)),"",INDEX(Master!$F$5:$F$200,MATCH(B12,Master!$E$5:$E$200,0))))</f>
        <v/>
      </c>
      <c r="D12" s="11">
        <f>IF(B12="","",IF(ISNA(MATCH(B12,Master!$E$5:$E$200,0)),"",INDEX(Master!$G$5:$G$200,MATCH(B12,Master!$E$5:$E$200,0))))</f>
        <v/>
      </c>
    </row>
    <row r="13" ht="22" customHeight="1">
      <c r="A13" s="19" t="n">
        <v>9</v>
      </c>
      <c r="B13" s="10" t="n"/>
      <c r="C13" s="20">
        <f>IF(B13="","",IF(ISNA(MATCH(B13,Master!$E$5:$E$200,0)),"",INDEX(Master!$F$5:$F$200,MATCH(B13,Master!$E$5:$E$200,0))))</f>
        <v/>
      </c>
      <c r="D13" s="11">
        <f>IF(B13="","",IF(ISNA(MATCH(B13,Master!$E$5:$E$200,0)),"",INDEX(Master!$G$5:$G$200,MATCH(B13,Master!$E$5:$E$200,0))))</f>
        <v/>
      </c>
    </row>
    <row r="14" ht="22" customHeight="1">
      <c r="A14" s="19" t="n">
        <v>10</v>
      </c>
      <c r="B14" s="10" t="n"/>
      <c r="C14" s="20">
        <f>IF(B14="","",IF(ISNA(MATCH(B14,Master!$E$5:$E$200,0)),"",INDEX(Master!$F$5:$F$200,MATCH(B14,Master!$E$5:$E$200,0))))</f>
        <v/>
      </c>
      <c r="D14" s="11">
        <f>IF(B14="","",IF(ISNA(MATCH(B14,Master!$E$5:$E$200,0)),"",INDEX(Master!$G$5:$G$200,MATCH(B14,Master!$E$5:$E$200,0))))</f>
        <v/>
      </c>
    </row>
    <row r="15" ht="22" customHeight="1">
      <c r="A15" s="19" t="n">
        <v>11</v>
      </c>
      <c r="B15" s="10" t="n"/>
      <c r="C15" s="20">
        <f>IF(B15="","",IF(ISNA(MATCH(B15,Master!$E$5:$E$200,0)),"",INDEX(Master!$F$5:$F$200,MATCH(B15,Master!$E$5:$E$200,0))))</f>
        <v/>
      </c>
      <c r="D15" s="11">
        <f>IF(B15="","",IF(ISNA(MATCH(B15,Master!$E$5:$E$200,0)),"",INDEX(Master!$G$5:$G$200,MATCH(B15,Master!$E$5:$E$200,0))))</f>
        <v/>
      </c>
    </row>
    <row r="16" ht="22" customHeight="1">
      <c r="A16" s="19" t="n">
        <v>12</v>
      </c>
      <c r="B16" s="10" t="n"/>
      <c r="C16" s="20">
        <f>IF(B16="","",IF(ISNA(MATCH(B16,Master!$E$5:$E$200,0)),"",INDEX(Master!$F$5:$F$200,MATCH(B16,Master!$E$5:$E$200,0))))</f>
        <v/>
      </c>
      <c r="D16" s="11">
        <f>IF(B16="","",IF(ISNA(MATCH(B16,Master!$E$5:$E$200,0)),"",INDEX(Master!$G$5:$G$200,MATCH(B16,Master!$E$5:$E$200,0))))</f>
        <v/>
      </c>
    </row>
    <row r="17" ht="22" customHeight="1">
      <c r="A17" s="19" t="n">
        <v>13</v>
      </c>
      <c r="B17" s="10" t="n"/>
      <c r="C17" s="20">
        <f>IF(B17="","",IF(ISNA(MATCH(B17,Master!$E$5:$E$200,0)),"",INDEX(Master!$F$5:$F$200,MATCH(B17,Master!$E$5:$E$200,0))))</f>
        <v/>
      </c>
      <c r="D17" s="11">
        <f>IF(B17="","",IF(ISNA(MATCH(B17,Master!$E$5:$E$200,0)),"",INDEX(Master!$G$5:$G$200,MATCH(B17,Master!$E$5:$E$200,0))))</f>
        <v/>
      </c>
    </row>
    <row r="18" ht="22" customHeight="1">
      <c r="A18" s="19" t="n">
        <v>14</v>
      </c>
      <c r="B18" s="10" t="n"/>
      <c r="C18" s="20">
        <f>IF(B18="","",IF(ISNA(MATCH(B18,Master!$E$5:$E$200,0)),"",INDEX(Master!$F$5:$F$200,MATCH(B18,Master!$E$5:$E$200,0))))</f>
        <v/>
      </c>
      <c r="D18" s="11">
        <f>IF(B18="","",IF(ISNA(MATCH(B18,Master!$E$5:$E$200,0)),"",INDEX(Master!$G$5:$G$200,MATCH(B18,Master!$E$5:$E$200,0))))</f>
        <v/>
      </c>
    </row>
    <row r="19" ht="22" customHeight="1">
      <c r="A19" s="19" t="n">
        <v>15</v>
      </c>
      <c r="B19" s="10" t="n"/>
      <c r="C19" s="20">
        <f>IF(B19="","",IF(ISNA(MATCH(B19,Master!$E$5:$E$200,0)),"",INDEX(Master!$F$5:$F$200,MATCH(B19,Master!$E$5:$E$200,0))))</f>
        <v/>
      </c>
      <c r="D19" s="11">
        <f>IF(B19="","",IF(ISNA(MATCH(B19,Master!$E$5:$E$200,0)),"",INDEX(Master!$G$5:$G$200,MATCH(B19,Master!$E$5:$E$200,0))))</f>
        <v/>
      </c>
    </row>
    <row r="20" ht="22" customHeight="1">
      <c r="A20" s="19" t="n">
        <v>16</v>
      </c>
      <c r="B20" s="10" t="n"/>
      <c r="C20" s="20">
        <f>IF(B20="","",IF(ISNA(MATCH(B20,Master!$E$5:$E$200,0)),"",INDEX(Master!$F$5:$F$200,MATCH(B20,Master!$E$5:$E$200,0))))</f>
        <v/>
      </c>
      <c r="D20" s="11">
        <f>IF(B20="","",IF(ISNA(MATCH(B20,Master!$E$5:$E$200,0)),"",INDEX(Master!$G$5:$G$200,MATCH(B20,Master!$E$5:$E$200,0))))</f>
        <v/>
      </c>
    </row>
    <row r="21" ht="22" customHeight="1">
      <c r="A21" s="19" t="n">
        <v>17</v>
      </c>
      <c r="B21" s="10" t="n"/>
      <c r="C21" s="20">
        <f>IF(B21="","",IF(ISNA(MATCH(B21,Master!$E$5:$E$200,0)),"",INDEX(Master!$F$5:$F$200,MATCH(B21,Master!$E$5:$E$200,0))))</f>
        <v/>
      </c>
      <c r="D21" s="11">
        <f>IF(B21="","",IF(ISNA(MATCH(B21,Master!$E$5:$E$200,0)),"",INDEX(Master!$G$5:$G$200,MATCH(B21,Master!$E$5:$E$200,0))))</f>
        <v/>
      </c>
    </row>
    <row r="22" ht="22" customHeight="1">
      <c r="A22" s="19" t="n">
        <v>18</v>
      </c>
      <c r="B22" s="10" t="n"/>
      <c r="C22" s="20">
        <f>IF(B22="","",IF(ISNA(MATCH(B22,Master!$E$5:$E$200,0)),"",INDEX(Master!$F$5:$F$200,MATCH(B22,Master!$E$5:$E$200,0))))</f>
        <v/>
      </c>
      <c r="D22" s="11">
        <f>IF(B22="","",IF(ISNA(MATCH(B22,Master!$E$5:$E$200,0)),"",INDEX(Master!$G$5:$G$200,MATCH(B22,Master!$E$5:$E$200,0))))</f>
        <v/>
      </c>
    </row>
    <row r="23" ht="22" customHeight="1">
      <c r="A23" s="19" t="n">
        <v>19</v>
      </c>
      <c r="B23" s="10" t="n"/>
      <c r="C23" s="20">
        <f>IF(B23="","",IF(ISNA(MATCH(B23,Master!$E$5:$E$200,0)),"",INDEX(Master!$F$5:$F$200,MATCH(B23,Master!$E$5:$E$200,0))))</f>
        <v/>
      </c>
      <c r="D23" s="11">
        <f>IF(B23="","",IF(ISNA(MATCH(B23,Master!$E$5:$E$200,0)),"",INDEX(Master!$G$5:$G$200,MATCH(B23,Master!$E$5:$E$200,0))))</f>
        <v/>
      </c>
    </row>
    <row r="24" ht="22" customHeight="1">
      <c r="A24" s="19" t="n">
        <v>20</v>
      </c>
      <c r="B24" s="10" t="n"/>
      <c r="C24" s="20">
        <f>IF(B24="","",IF(ISNA(MATCH(B24,Master!$E$5:$E$200,0)),"",INDEX(Master!$F$5:$F$200,MATCH(B24,Master!$E$5:$E$200,0))))</f>
        <v/>
      </c>
      <c r="D24" s="11">
        <f>IF(B24="","",IF(ISNA(MATCH(B24,Master!$E$5:$E$200,0)),"",INDEX(Master!$G$5:$G$200,MATCH(B24,Master!$E$5:$E$200,0))))</f>
        <v/>
      </c>
    </row>
    <row r="25" ht="22" customHeight="1">
      <c r="A25" s="19" t="n">
        <v>21</v>
      </c>
      <c r="B25" s="10" t="n"/>
      <c r="C25" s="20">
        <f>IF(B25="","",IF(ISNA(MATCH(B25,Master!$E$5:$E$200,0)),"",INDEX(Master!$F$5:$F$200,MATCH(B25,Master!$E$5:$E$200,0))))</f>
        <v/>
      </c>
      <c r="D25" s="11">
        <f>IF(B25="","",IF(ISNA(MATCH(B25,Master!$E$5:$E$200,0)),"",INDEX(Master!$G$5:$G$200,MATCH(B25,Master!$E$5:$E$200,0))))</f>
        <v/>
      </c>
    </row>
    <row r="26" ht="22" customHeight="1">
      <c r="A26" s="19" t="n">
        <v>22</v>
      </c>
      <c r="B26" s="10" t="n"/>
      <c r="C26" s="20">
        <f>IF(B26="","",IF(ISNA(MATCH(B26,Master!$E$5:$E$200,0)),"",INDEX(Master!$F$5:$F$200,MATCH(B26,Master!$E$5:$E$200,0))))</f>
        <v/>
      </c>
      <c r="D26" s="11">
        <f>IF(B26="","",IF(ISNA(MATCH(B26,Master!$E$5:$E$200,0)),"",INDEX(Master!$G$5:$G$200,MATCH(B26,Master!$E$5:$E$200,0))))</f>
        <v/>
      </c>
    </row>
    <row r="27" ht="22" customHeight="1">
      <c r="A27" s="19" t="n">
        <v>23</v>
      </c>
      <c r="B27" s="10" t="n"/>
      <c r="C27" s="20">
        <f>IF(B27="","",IF(ISNA(MATCH(B27,Master!$E$5:$E$200,0)),"",INDEX(Master!$F$5:$F$200,MATCH(B27,Master!$E$5:$E$200,0))))</f>
        <v/>
      </c>
      <c r="D27" s="11">
        <f>IF(B27="","",IF(ISNA(MATCH(B27,Master!$E$5:$E$200,0)),"",INDEX(Master!$G$5:$G$200,MATCH(B27,Master!$E$5:$E$200,0))))</f>
        <v/>
      </c>
    </row>
    <row r="28" ht="22" customHeight="1">
      <c r="A28" s="19" t="n">
        <v>24</v>
      </c>
      <c r="B28" s="10" t="n"/>
      <c r="C28" s="20">
        <f>IF(B28="","",IF(ISNA(MATCH(B28,Master!$E$5:$E$200,0)),"",INDEX(Master!$F$5:$F$200,MATCH(B28,Master!$E$5:$E$200,0))))</f>
        <v/>
      </c>
      <c r="D28" s="11">
        <f>IF(B28="","",IF(ISNA(MATCH(B28,Master!$E$5:$E$200,0)),"",INDEX(Master!$G$5:$G$200,MATCH(B28,Master!$E$5:$E$200,0))))</f>
        <v/>
      </c>
    </row>
    <row r="29" ht="22" customHeight="1">
      <c r="A29" s="19" t="n">
        <v>25</v>
      </c>
      <c r="B29" s="10" t="n"/>
      <c r="C29" s="20">
        <f>IF(B29="","",IF(ISNA(MATCH(B29,Master!$E$5:$E$200,0)),"",INDEX(Master!$F$5:$F$200,MATCH(B29,Master!$E$5:$E$200,0))))</f>
        <v/>
      </c>
      <c r="D29" s="11">
        <f>IF(B29="","",IF(ISNA(MATCH(B29,Master!$E$5:$E$200,0)),"",INDEX(Master!$G$5:$G$200,MATCH(B29,Master!$E$5:$E$200,0))))</f>
        <v/>
      </c>
    </row>
    <row r="30" ht="22" customHeight="1">
      <c r="A30" s="19" t="n">
        <v>26</v>
      </c>
      <c r="B30" s="10" t="n"/>
      <c r="C30" s="20">
        <f>IF(B30="","",IF(ISNA(MATCH(B30,Master!$E$5:$E$200,0)),"",INDEX(Master!$F$5:$F$200,MATCH(B30,Master!$E$5:$E$200,0))))</f>
        <v/>
      </c>
      <c r="D30" s="11">
        <f>IF(B30="","",IF(ISNA(MATCH(B30,Master!$E$5:$E$200,0)),"",INDEX(Master!$G$5:$G$200,MATCH(B30,Master!$E$5:$E$200,0))))</f>
        <v/>
      </c>
    </row>
    <row r="31" ht="22" customHeight="1">
      <c r="A31" s="19" t="n">
        <v>27</v>
      </c>
      <c r="B31" s="10" t="n"/>
      <c r="C31" s="20">
        <f>IF(B31="","",IF(ISNA(MATCH(B31,Master!$E$5:$E$200,0)),"",INDEX(Master!$F$5:$F$200,MATCH(B31,Master!$E$5:$E$200,0))))</f>
        <v/>
      </c>
      <c r="D31" s="11">
        <f>IF(B31="","",IF(ISNA(MATCH(B31,Master!$E$5:$E$200,0)),"",INDEX(Master!$G$5:$G$200,MATCH(B31,Master!$E$5:$E$200,0))))</f>
        <v/>
      </c>
    </row>
    <row r="32" ht="22" customHeight="1">
      <c r="A32" s="19" t="n">
        <v>28</v>
      </c>
      <c r="B32" s="10" t="n"/>
      <c r="C32" s="20">
        <f>IF(B32="","",IF(ISNA(MATCH(B32,Master!$E$5:$E$200,0)),"",INDEX(Master!$F$5:$F$200,MATCH(B32,Master!$E$5:$E$200,0))))</f>
        <v/>
      </c>
      <c r="D32" s="11">
        <f>IF(B32="","",IF(ISNA(MATCH(B32,Master!$E$5:$E$200,0)),"",INDEX(Master!$G$5:$G$200,MATCH(B32,Master!$E$5:$E$200,0))))</f>
        <v/>
      </c>
    </row>
    <row r="33" ht="22" customHeight="1">
      <c r="A33" s="19" t="n">
        <v>29</v>
      </c>
      <c r="B33" s="10" t="n"/>
      <c r="C33" s="20">
        <f>IF(B33="","",IF(ISNA(MATCH(B33,Master!$E$5:$E$200,0)),"",INDEX(Master!$F$5:$F$200,MATCH(B33,Master!$E$5:$E$200,0))))</f>
        <v/>
      </c>
      <c r="D33" s="11">
        <f>IF(B33="","",IF(ISNA(MATCH(B33,Master!$E$5:$E$200,0)),"",INDEX(Master!$G$5:$G$200,MATCH(B33,Master!$E$5:$E$200,0))))</f>
        <v/>
      </c>
    </row>
    <row r="34" ht="22" customHeight="1">
      <c r="A34" s="19" t="n">
        <v>30</v>
      </c>
      <c r="B34" s="10" t="n"/>
      <c r="C34" s="20">
        <f>IF(B34="","",IF(ISNA(MATCH(B34,Master!$E$5:$E$200,0)),"",INDEX(Master!$F$5:$F$200,MATCH(B34,Master!$E$5:$E$200,0))))</f>
        <v/>
      </c>
      <c r="D34" s="11">
        <f>IF(B34="","",IF(ISNA(MATCH(B34,Master!$E$5:$E$200,0)),"",INDEX(Master!$G$5:$G$200,MATCH(B34,Master!$E$5:$E$200,0))))</f>
        <v/>
      </c>
    </row>
    <row r="36" ht="32" customHeight="1">
      <c r="A36" s="22" t="inlineStr">
        <is>
          <t>Rate auto-fills from Master. Type over any rate cell to quote a different price for this customer only.</t>
        </is>
      </c>
    </row>
  </sheetData>
  <mergeCells count="2">
    <mergeCell ref="A1:D1"/>
    <mergeCell ref="A36:D36"/>
  </mergeCells>
  <dataValidations count="3">
    <dataValidation type="list" allowBlank="1" showInputMessage="1" showErrorMessage="1" sqref="B5:B34">
      <formula1>ItemList</formula1>
    </dataValidation>
    <dataValidation type="list" allowBlank="1" showInputMessage="1" showErrorMessage="1" sqref="C5:C34">
      <formula1>UnitList</formula1>
    </dataValidation>
    <dataValidation type="list" allowBlank="1" showInputMessage="1" showErrorMessage="1" sqref="D2">
      <formula1>ClientList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2026-08-21T07:50:25Z</dcterms:created>
  <dcterms:modified xmlns:dcterms="http://purl.org/dc/terms/" xmlns:xsi="http://www.w3.org/2001/XMLSchema-instance" xsi:type="dcterms:W3CDTF">2026-08-21T07:50:25Z</dcterms:modified>
</cp:coreProperties>
</file>