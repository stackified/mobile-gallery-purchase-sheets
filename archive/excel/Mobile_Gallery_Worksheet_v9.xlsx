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List'!$1:$4</definedName>
    <definedName name="_xlnm.Print_Area" localSheetId="2">'Purchase List'!$A$1:$P$64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4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b val="1"/>
      <color rgb="000F172A"/>
      <sz val="11"/>
    </font>
    <font>
      <name val="Calibri"/>
      <b val="1"/>
      <i val="1"/>
      <color rgb="0064748B"/>
      <sz val="10"/>
    </font>
    <font>
      <name val="Calibri"/>
      <b val="1"/>
      <color rgb="00FFFFFF"/>
      <sz val="9"/>
    </font>
    <font>
      <name val="Calibri"/>
      <color rgb="000F172A"/>
      <sz val="10"/>
    </font>
    <font>
      <name val="Calibri"/>
      <color rgb="0064748B"/>
      <sz val="10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94A3B8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3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8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80" customHeight="1">
      <c r="A5" s="4" t="inlineStr">
        <is>
          <t>Master sheet
मास्टर शीट</t>
        </is>
      </c>
      <c r="B5" s="5" t="inlineStr">
        <is>
          <t>Master is where prices live. Update prices here anytime - Price List picks them up automatically. Yellow cells are editable.</t>
        </is>
      </c>
      <c r="C5" s="6" t="inlineStr">
        <is>
          <t>मास्टर में रेट रखो। यहाँ रेट बदलो - Price List में अपने आप आ जाएगा। पीले खाने बदल सकते हैं।</t>
        </is>
      </c>
    </row>
    <row r="6" ht="80" customHeight="1">
      <c r="A6" s="4" t="inlineStr">
        <is>
          <t>Dropdown Source block
Dropdown Source ब्लॉक</t>
        </is>
      </c>
      <c r="B6" s="5" t="inlineStr">
        <is>
          <t>Purchase List (grey columns R / T / V, right of TOTAL) and Price List (grey columns F / H / J) each hold the item / client / unit list that feeds the dropdowns on that sheet.</t>
        </is>
      </c>
      <c r="C6" s="6" t="inlineStr">
        <is>
          <t>Purchase List (ग्रे कॉलम R / T / V, TOTAL के दायीं तरफ) और Price List (ग्रे कॉलम F / H / J) में उस शीट के ड्रॉपडाउन के लिए items / clients / units की लिस्ट है।</t>
        </is>
      </c>
    </row>
    <row r="7" ht="80" customHeight="1">
      <c r="A7" s="4" t="inlineStr">
        <is>
          <t>Add a NEW item
नयी चीज़ जोड़ें</t>
        </is>
      </c>
      <c r="B7" s="5" t="inlineStr">
        <is>
          <t>Two steps: (1) Master sheet - add category, item name, default unit, price. (2) In Purchase List grey ITEMS column AND Price List grey ITEMS column - type the same item name in the next empty grey cell. It appears in the dropdown immediately.</t>
        </is>
      </c>
      <c r="C7" s="6" t="inlineStr">
        <is>
          <t>दो कदम: (1) मास्टर शीट में category, item, unit, price डालो। (2) Purchase List के ग्रे ITEMS कॉलम और Price List के ग्रे ITEMS कॉलम में - अगले खाली खाने में वही नाम लिख दो। तुरंत ड्रॉपडाउन में आ जाएगा।</t>
        </is>
      </c>
    </row>
    <row r="8" ht="80" customHeight="1">
      <c r="A8" s="4" t="inlineStr">
        <is>
          <t>Add a NEW client
नया ग्राहक जोड़ें</t>
        </is>
      </c>
      <c r="B8" s="5" t="inlineStr">
        <is>
          <t>Two steps: (1) Master sheet column B. (2) Purchase List grey CLIENTS column AND Price List grey CUSTOMERS column.</t>
        </is>
      </c>
      <c r="C8" s="6" t="inlineStr">
        <is>
          <t>दो कदम: (1) मास्टर शीट के B कॉलम में। (2) Purchase List के ग्रे CLIENTS कॉलम और Price List के ग्रे CUSTOMERS कॉलम में।</t>
        </is>
      </c>
    </row>
    <row r="9" ht="80" customHeight="1">
      <c r="A9" s="4" t="inlineStr">
        <is>
          <t>Add a NEW unit
नयी यूनिट</t>
        </is>
      </c>
      <c r="B9" s="5" t="inlineStr">
        <is>
          <t>Two steps: (1) Master sheet column I. (2) Purchase List grey UNITS column AND Price List grey UNITS column.</t>
        </is>
      </c>
      <c r="C9" s="6" t="inlineStr">
        <is>
          <t>दो कदम: (1) मास्टर I कॉलम में। (2) Purchase List और Price List के ग्रे UNITS कॉलम में।</t>
        </is>
      </c>
    </row>
    <row r="10" ht="80" customHeight="1">
      <c r="A10" s="4" t="inlineStr">
        <is>
          <t>Update a price
रेट बदलें</t>
        </is>
      </c>
      <c r="B10" s="5" t="inlineStr">
        <is>
          <t>One step: Master sheet, column G. Any rate cell in Price List that you have NOT typed over updates automatically.</t>
        </is>
      </c>
      <c r="C10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11" ht="80" customHeight="1">
      <c r="A11" s="4" t="inlineStr">
        <is>
          <t>Purchase List
खरीदी लिस्ट</t>
        </is>
      </c>
      <c r="B11" s="5" t="inlineStr">
        <is>
          <t>Fill Date. In row 4 pick each client from the yellow header dropdowns above the quantity columns. For each item row: pick ITEM from the dropdown, then type quantity for each client. UNIT and TOTAL fill automatically.</t>
        </is>
      </c>
      <c r="C11" s="6" t="inlineStr">
        <is>
          <t>तारीख भरें। पंक्ति 4 में हर पीले खाने में ड्रॉपडाउन से ग्राहक चुनें। हर लाइन: चीज़ ड्रॉपडाउन से चुनें, फिर हर ग्राहक की मात्रा लिखें।</t>
        </is>
      </c>
    </row>
    <row r="12" ht="80" customHeight="1">
      <c r="A12" s="4" t="inlineStr">
        <is>
          <t>Price List
प्राइस लिस्ट</t>
        </is>
      </c>
      <c r="B12" s="5" t="inlineStr">
        <is>
          <t>Fill Date, pick Customer from dropdown. Pick items - rate auto-fills from Master. To quote a different price for one customer, type over the rate cell.</t>
        </is>
      </c>
      <c r="C12" s="6" t="inlineStr">
        <is>
          <t>तारीख भरें, ग्राहक चुनें।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13" ht="80" customHeight="1">
      <c r="A13" s="4" t="inlineStr">
        <is>
          <t>Print
प्रिंट</t>
        </is>
      </c>
      <c r="B13" s="5" t="inlineStr">
        <is>
          <t>Ctrl + P. Purchase List prints landscape, Price List prints portrait. The grey Dropdown Source block sits outside the print area, so it will NOT print.</t>
        </is>
      </c>
      <c r="C13" s="6" t="inlineStr">
        <is>
          <t>Ctrl + P। खरीदी लिस्ट landscape, प्राइस लिस्ट portrait। ग्रे Dropdown Source ब्लॉक प्रिंट नहीं होगा।</t>
        </is>
      </c>
    </row>
    <row r="14" ht="80" customHeight="1">
      <c r="A14" s="4" t="inlineStr">
        <is>
          <t>Save daily copy
रोज़ नई फाइल</t>
        </is>
      </c>
      <c r="B14" s="5" t="inlineStr">
        <is>
          <t>File &gt; Save As before starting a new day. Then clear the yellow cells. Master and Dropdown Source blocks stay untouched.</t>
        </is>
      </c>
      <c r="C14" s="6" t="inlineStr">
        <is>
          <t>नया दिन शुरू करने से पहले File &gt; Save As। फिर पीले खाने खाली कर दो।</t>
        </is>
      </c>
    </row>
    <row r="15" ht="80" customHeight="1">
      <c r="A15" s="4" t="inlineStr">
        <is>
          <t>Colour guide
रंग समझें</t>
        </is>
      </c>
      <c r="B15" s="5" t="inlineStr">
        <is>
          <t>Yellow = editable.  Blue = auto-calculated.  Dark = header.  Grey = Dropdown Source.</t>
        </is>
      </c>
      <c r="C15" s="6" t="inlineStr">
        <is>
          <t>पीला = बदल सकते हैं।  नीला = अपने आप।  गहरा = हैडर।  ग्रे = Dropdown Source।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picks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1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22" customWidth="1" min="18" max="18"/>
    <col width="2" customWidth="1" min="19" max="19"/>
    <col width="22" customWidth="1" min="20" max="20"/>
    <col width="2" customWidth="1" min="21" max="21"/>
    <col width="22" customWidth="1" min="22" max="22"/>
  </cols>
  <sheetData>
    <row r="1" ht="32" customHeight="1">
      <c r="A1" s="7" t="inlineStr">
        <is>
          <t>Purchase List - Mobile Gallery</t>
        </is>
      </c>
      <c r="R1" s="12" t="inlineStr">
        <is>
          <t>Dropdown Source - edit here to add new items / clients / units</t>
        </is>
      </c>
    </row>
    <row r="2" ht="24" customHeight="1">
      <c r="A2" s="13" t="inlineStr">
        <is>
          <t>Date</t>
        </is>
      </c>
      <c r="B2" s="14" t="n"/>
      <c r="C2" s="15" t="n"/>
      <c r="D2" s="13" t="inlineStr">
        <is>
          <t>Notes</t>
        </is>
      </c>
      <c r="E2" s="10" t="n"/>
    </row>
    <row r="3" ht="8" customHeight="1">
      <c r="R3" s="16" t="inlineStr">
        <is>
          <t>ITEMS</t>
        </is>
      </c>
      <c r="T3" s="16" t="inlineStr">
        <is>
          <t>CLIENTS</t>
        </is>
      </c>
      <c r="V3" s="16" t="inlineStr">
        <is>
          <t>UNITS</t>
        </is>
      </c>
    </row>
    <row r="4" ht="32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3" t="inlineStr">
        <is>
          <t>TOTAL</t>
        </is>
      </c>
      <c r="R4" s="18" t="inlineStr">
        <is>
          <t>POTATO</t>
        </is>
      </c>
      <c r="T4" s="18" t="inlineStr">
        <is>
          <t>Fountainhead School</t>
        </is>
      </c>
      <c r="V4" s="18" t="inlineStr">
        <is>
          <t>KG</t>
        </is>
      </c>
    </row>
    <row r="5" ht="22" customHeight="1">
      <c r="A5" s="19" t="n">
        <v>1</v>
      </c>
      <c r="B5" s="10" t="n"/>
      <c r="C5" s="20">
        <f>IF(B5="","",IF(ISNA(MATCH(B5,Master!$E$5:$E$200,0)),"",INDEX(Master!$F$5:$F$200,MATCH(B5,Master!$E$5:$E$200,0))))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21">
        <f>IF(SUM(D5:O5)=0,"",SUM(D5:O5))</f>
        <v/>
      </c>
      <c r="R5" s="18" t="inlineStr">
        <is>
          <t>ONION</t>
        </is>
      </c>
      <c r="T5" s="18" t="inlineStr">
        <is>
          <t>G International-1 (Dandi)</t>
        </is>
      </c>
      <c r="V5" s="18" t="inlineStr">
        <is>
          <t>DOZEN</t>
        </is>
      </c>
    </row>
    <row r="6" ht="22" customHeight="1">
      <c r="A6" s="19" t="n">
        <v>2</v>
      </c>
      <c r="B6" s="10" t="n"/>
      <c r="C6" s="20">
        <f>IF(B6="","",IF(ISNA(MATCH(B6,Master!$E$5:$E$200,0)),"",INDEX(Master!$F$5:$F$200,MATCH(B6,Master!$E$5:$E$200,0))))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21">
        <f>IF(SUM(D6:O6)=0,"",SUM(D6:O6))</f>
        <v/>
      </c>
      <c r="R6" s="18" t="inlineStr">
        <is>
          <t>TOMATO</t>
        </is>
      </c>
      <c r="T6" s="18" t="inlineStr">
        <is>
          <t>G International-2 (DG Corp)</t>
        </is>
      </c>
      <c r="V6" s="18" t="inlineStr">
        <is>
          <t>PCS</t>
        </is>
      </c>
    </row>
    <row r="7" ht="22" customHeight="1">
      <c r="A7" s="19" t="n">
        <v>3</v>
      </c>
      <c r="B7" s="10" t="n"/>
      <c r="C7" s="20">
        <f>IF(B7="","",IF(ISNA(MATCH(B7,Master!$E$5:$E$200,0)),"",INDEX(Master!$F$5:$F$200,MATCH(B7,Master!$E$5:$E$200,0))))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21">
        <f>IF(SUM(D7:O7)=0,"",SUM(D7:O7))</f>
        <v/>
      </c>
      <c r="R7" s="18" t="inlineStr">
        <is>
          <t>GARLIC (LASUN)</t>
        </is>
      </c>
      <c r="T7" s="18" t="inlineStr">
        <is>
          <t>Gyan Mudra</t>
        </is>
      </c>
      <c r="V7" s="18" t="inlineStr">
        <is>
          <t>GM</t>
        </is>
      </c>
    </row>
    <row r="8" ht="22" customHeight="1">
      <c r="A8" s="19" t="n">
        <v>4</v>
      </c>
      <c r="B8" s="10" t="n"/>
      <c r="C8" s="20">
        <f>IF(B8="","",IF(ISNA(MATCH(B8,Master!$E$5:$E$200,0)),"",INDEX(Master!$F$5:$F$200,MATCH(B8,Master!$E$5:$E$200,0))))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21">
        <f>IF(SUM(D8:O8)=0,"",SUM(D8:O8))</f>
        <v/>
      </c>
      <c r="R8" s="18" t="inlineStr">
        <is>
          <t>GINGER (ADRAK)</t>
        </is>
      </c>
      <c r="T8" s="18" t="inlineStr">
        <is>
          <t>JNV (Vankal)</t>
        </is>
      </c>
      <c r="V8" s="18" t="inlineStr">
        <is>
          <t>PACKET</t>
        </is>
      </c>
    </row>
    <row r="9" ht="22" customHeight="1">
      <c r="A9" s="19" t="n">
        <v>5</v>
      </c>
      <c r="B9" s="10" t="n"/>
      <c r="C9" s="20">
        <f>IF(B9="","",IF(ISNA(MATCH(B9,Master!$E$5:$E$200,0)),"",INDEX(Master!$F$5:$F$200,MATCH(B9,Master!$E$5:$E$200,0))))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21">
        <f>IF(SUM(D9:O9)=0,"",SUM(D9:O9))</f>
        <v/>
      </c>
      <c r="R9" s="18" t="inlineStr">
        <is>
          <t>GREEN CHILLY</t>
        </is>
      </c>
      <c r="T9" s="18" t="inlineStr">
        <is>
          <t>JNV (Bhajipura)</t>
        </is>
      </c>
      <c r="V9" s="18" t="inlineStr">
        <is>
          <t>BUNCH</t>
        </is>
      </c>
    </row>
    <row r="10" ht="22" customHeight="1">
      <c r="A10" s="19" t="n">
        <v>6</v>
      </c>
      <c r="B10" s="10" t="n"/>
      <c r="C10" s="20">
        <f>IF(B10="","",IF(ISNA(MATCH(B10,Master!$E$5:$E$200,0)),"",INDEX(Master!$F$5:$F$200,MATCH(B10,Master!$E$5:$E$200,0))))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21">
        <f>IF(SUM(D10:O10)=0,"",SUM(D10:O10))</f>
        <v/>
      </c>
      <c r="R10" s="18" t="inlineStr">
        <is>
          <t>FAFADA MIRCH</t>
        </is>
      </c>
      <c r="T10" s="18" t="inlineStr">
        <is>
          <t>Gurukrupa (Udhna)</t>
        </is>
      </c>
      <c r="V10" s="18" t="inlineStr">
        <is>
          <t>BUNDLE</t>
        </is>
      </c>
    </row>
    <row r="11" ht="22" customHeight="1">
      <c r="A11" s="19" t="n">
        <v>7</v>
      </c>
      <c r="B11" s="10" t="n"/>
      <c r="C11" s="20">
        <f>IF(B11="","",IF(ISNA(MATCH(B11,Master!$E$5:$E$200,0)),"",INDEX(Master!$F$5:$F$200,MATCH(B11,Master!$E$5:$E$200,0))))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21">
        <f>IF(SUM(D11:O11)=0,"",SUM(D11:O11))</f>
        <v/>
      </c>
      <c r="R11" s="18" t="inlineStr">
        <is>
          <t>CORIANDER (DHANIYA)</t>
        </is>
      </c>
      <c r="T11" s="18" t="n"/>
      <c r="V11" s="18" t="inlineStr">
        <is>
          <t>BOX</t>
        </is>
      </c>
    </row>
    <row r="12" ht="22" customHeight="1">
      <c r="A12" s="19" t="n">
        <v>8</v>
      </c>
      <c r="B12" s="10" t="n"/>
      <c r="C12" s="20">
        <f>IF(B12="","",IF(ISNA(MATCH(B12,Master!$E$5:$E$200,0)),"",INDEX(Master!$F$5:$F$200,MATCH(B12,Master!$E$5:$E$200,0))))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21">
        <f>IF(SUM(D12:O12)=0,"",SUM(D12:O12))</f>
        <v/>
      </c>
      <c r="R12" s="18" t="inlineStr">
        <is>
          <t>KOBICH</t>
        </is>
      </c>
      <c r="T12" s="18" t="n"/>
      <c r="V12" s="18" t="inlineStr">
        <is>
          <t>CRATE</t>
        </is>
      </c>
    </row>
    <row r="13" ht="22" customHeight="1">
      <c r="A13" s="19" t="n">
        <v>9</v>
      </c>
      <c r="B13" s="10" t="n"/>
      <c r="C13" s="20">
        <f>IF(B13="","",IF(ISNA(MATCH(B13,Master!$E$5:$E$200,0)),"",INDEX(Master!$F$5:$F$200,MATCH(B13,Master!$E$5:$E$200,0))))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21">
        <f>IF(SUM(D13:O13)=0,"",SUM(D13:O13))</f>
        <v/>
      </c>
      <c r="R13" s="18" t="inlineStr">
        <is>
          <t>GAULI FLOWER</t>
        </is>
      </c>
      <c r="T13" s="18" t="n"/>
      <c r="V13" s="18" t="inlineStr">
        <is>
          <t>LITRE</t>
        </is>
      </c>
    </row>
    <row r="14" ht="22" customHeight="1">
      <c r="A14" s="19" t="n">
        <v>10</v>
      </c>
      <c r="B14" s="10" t="n"/>
      <c r="C14" s="20">
        <f>IF(B14="","",IF(ISNA(MATCH(B14,Master!$E$5:$E$200,0)),"",INDEX(Master!$F$5:$F$200,MATCH(B14,Master!$E$5:$E$200,0))))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21">
        <f>IF(SUM(D14:O14)=0,"",SUM(D14:O14))</f>
        <v/>
      </c>
      <c r="R14" s="18" t="inlineStr">
        <is>
          <t>BINAPATTE KA FLOWER</t>
        </is>
      </c>
      <c r="T14" s="18" t="n"/>
      <c r="V14" s="18" t="inlineStr">
        <is>
          <t>GUNI</t>
        </is>
      </c>
    </row>
    <row r="15" ht="22" customHeight="1">
      <c r="A15" s="19" t="n">
        <v>11</v>
      </c>
      <c r="B15" s="10" t="n"/>
      <c r="C15" s="20">
        <f>IF(B15="","",IF(ISNA(MATCH(B15,Master!$E$5:$E$200,0)),"",INDEX(Master!$F$5:$F$200,MATCH(B15,Master!$E$5:$E$200,0))))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21">
        <f>IF(SUM(D15:O15)=0,"",SUM(D15:O15))</f>
        <v/>
      </c>
      <c r="R15" s="18" t="inlineStr">
        <is>
          <t>LAUKI</t>
        </is>
      </c>
      <c r="T15" s="18" t="n"/>
      <c r="V15" s="18" t="n"/>
    </row>
    <row r="16" ht="22" customHeight="1">
      <c r="A16" s="19" t="n">
        <v>12</v>
      </c>
      <c r="B16" s="10" t="n"/>
      <c r="C16" s="20">
        <f>IF(B16="","",IF(ISNA(MATCH(B16,Master!$E$5:$E$200,0)),"",INDEX(Master!$F$5:$F$200,MATCH(B16,Master!$E$5:$E$200,0))))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21">
        <f>IF(SUM(D16:O16)=0,"",SUM(D16:O16))</f>
        <v/>
      </c>
      <c r="R16" s="18" t="inlineStr">
        <is>
          <t>BHINDI</t>
        </is>
      </c>
      <c r="T16" s="18" t="n"/>
      <c r="V16" s="18" t="n"/>
    </row>
    <row r="17" ht="22" customHeight="1">
      <c r="A17" s="19" t="n">
        <v>13</v>
      </c>
      <c r="B17" s="10" t="n"/>
      <c r="C17" s="20">
        <f>IF(B17="","",IF(ISNA(MATCH(B17,Master!$E$5:$E$200,0)),"",INDEX(Master!$F$5:$F$200,MATCH(B17,Master!$E$5:$E$200,0))))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>
        <f>IF(SUM(D17:O17)=0,"",SUM(D17:O17))</f>
        <v/>
      </c>
      <c r="R17" s="18" t="inlineStr">
        <is>
          <t>BRINJAL</t>
        </is>
      </c>
      <c r="T17" s="18" t="n"/>
      <c r="V17" s="18" t="n"/>
    </row>
    <row r="18" ht="22" customHeight="1">
      <c r="A18" s="19" t="n">
        <v>14</v>
      </c>
      <c r="B18" s="10" t="n"/>
      <c r="C18" s="20">
        <f>IF(B18="","",IF(ISNA(MATCH(B18,Master!$E$5:$E$200,0)),"",INDEX(Master!$F$5:$F$200,MATCH(B18,Master!$E$5:$E$200,0))))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21">
        <f>IF(SUM(D18:O18)=0,"",SUM(D18:O18))</f>
        <v/>
      </c>
      <c r="R18" s="18" t="inlineStr">
        <is>
          <t>TINDORA</t>
        </is>
      </c>
      <c r="T18" s="18" t="n"/>
      <c r="V18" s="18" t="n"/>
    </row>
    <row r="19" ht="22" customHeight="1">
      <c r="A19" s="19" t="n">
        <v>15</v>
      </c>
      <c r="B19" s="10" t="n"/>
      <c r="C19" s="20">
        <f>IF(B19="","",IF(ISNA(MATCH(B19,Master!$E$5:$E$200,0)),"",INDEX(Master!$F$5:$F$200,MATCH(B19,Master!$E$5:$E$200,0))))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21">
        <f>IF(SUM(D19:O19)=0,"",SUM(D19:O19))</f>
        <v/>
      </c>
      <c r="R19" s="18" t="inlineStr">
        <is>
          <t>PARVAL</t>
        </is>
      </c>
      <c r="T19" s="18" t="n"/>
      <c r="V19" s="18" t="n"/>
    </row>
    <row r="20" ht="22" customHeight="1">
      <c r="A20" s="19" t="n">
        <v>16</v>
      </c>
      <c r="B20" s="10" t="n"/>
      <c r="C20" s="20">
        <f>IF(B20="","",IF(ISNA(MATCH(B20,Master!$E$5:$E$200,0)),"",INDEX(Master!$F$5:$F$200,MATCH(B20,Master!$E$5:$E$200,0))))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21">
        <f>IF(SUM(D20:O20)=0,"",SUM(D20:O20))</f>
        <v/>
      </c>
      <c r="R20" s="18" t="inlineStr">
        <is>
          <t>TURIYA</t>
        </is>
      </c>
      <c r="T20" s="18" t="n"/>
      <c r="V20" s="18" t="n"/>
    </row>
    <row r="21" ht="22" customHeight="1">
      <c r="A21" s="19" t="n">
        <v>17</v>
      </c>
      <c r="B21" s="10" t="n"/>
      <c r="C21" s="20">
        <f>IF(B21="","",IF(ISNA(MATCH(B21,Master!$E$5:$E$200,0)),"",INDEX(Master!$F$5:$F$200,MATCH(B21,Master!$E$5:$E$200,0))))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21">
        <f>IF(SUM(D21:O21)=0,"",SUM(D21:O21))</f>
        <v/>
      </c>
      <c r="R21" s="18" t="inlineStr">
        <is>
          <t>SIMLA MIRCH</t>
        </is>
      </c>
      <c r="T21" s="18" t="n"/>
      <c r="V21" s="18" t="n"/>
    </row>
    <row r="22" ht="22" customHeight="1">
      <c r="A22" s="19" t="n">
        <v>18</v>
      </c>
      <c r="B22" s="10" t="n"/>
      <c r="C22" s="20">
        <f>IF(B22="","",IF(ISNA(MATCH(B22,Master!$E$5:$E$200,0)),"",INDEX(Master!$F$5:$F$200,MATCH(B22,Master!$E$5:$E$200,0))))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21">
        <f>IF(SUM(D22:O22)=0,"",SUM(D22:O22))</f>
        <v/>
      </c>
      <c r="R22" s="18" t="inlineStr">
        <is>
          <t>FANSI</t>
        </is>
      </c>
      <c r="T22" s="18" t="n"/>
      <c r="V22" s="18" t="n"/>
    </row>
    <row r="23" ht="22" customHeight="1">
      <c r="A23" s="19" t="n">
        <v>19</v>
      </c>
      <c r="B23" s="10" t="n"/>
      <c r="C23" s="20">
        <f>IF(B23="","",IF(ISNA(MATCH(B23,Master!$E$5:$E$200,0)),"",INDEX(Master!$F$5:$F$200,MATCH(B23,Master!$E$5:$E$200,0))))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1">
        <f>IF(SUM(D23:O23)=0,"",SUM(D23:O23))</f>
        <v/>
      </c>
      <c r="R23" s="18" t="inlineStr">
        <is>
          <t>GUVAR</t>
        </is>
      </c>
      <c r="T23" s="18" t="n"/>
      <c r="V23" s="18" t="n"/>
    </row>
    <row r="24" ht="22" customHeight="1">
      <c r="A24" s="19" t="n">
        <v>20</v>
      </c>
      <c r="B24" s="10" t="n"/>
      <c r="C24" s="20">
        <f>IF(B24="","",IF(ISNA(MATCH(B24,Master!$E$5:$E$200,0)),"",INDEX(Master!$F$5:$F$200,MATCH(B24,Master!$E$5:$E$200,0))))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21">
        <f>IF(SUM(D24:O24)=0,"",SUM(D24:O24))</f>
        <v/>
      </c>
      <c r="R24" s="18" t="inlineStr">
        <is>
          <t>SARAGVA SING</t>
        </is>
      </c>
      <c r="T24" s="18" t="n"/>
      <c r="V24" s="18" t="n"/>
    </row>
    <row r="25" ht="22" customHeight="1">
      <c r="A25" s="19" t="n">
        <v>21</v>
      </c>
      <c r="B25" s="10" t="n"/>
      <c r="C25" s="20">
        <f>IF(B25="","",IF(ISNA(MATCH(B25,Master!$E$5:$E$200,0)),"",INDEX(Master!$F$5:$F$200,MATCH(B25,Master!$E$5:$E$200,0))))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21">
        <f>IF(SUM(D25:O25)=0,"",SUM(D25:O25))</f>
        <v/>
      </c>
      <c r="R25" s="18" t="inlineStr">
        <is>
          <t>GREEN PEACE</t>
        </is>
      </c>
      <c r="T25" s="18" t="n"/>
      <c r="V25" s="18" t="n"/>
    </row>
    <row r="26" ht="22" customHeight="1">
      <c r="A26" s="19" t="n">
        <v>22</v>
      </c>
      <c r="B26" s="10" t="n"/>
      <c r="C26" s="20">
        <f>IF(B26="","",IF(ISNA(MATCH(B26,Master!$E$5:$E$200,0)),"",INDEX(Master!$F$5:$F$200,MATCH(B26,Master!$E$5:$E$200,0))))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21">
        <f>IF(SUM(D26:O26)=0,"",SUM(D26:O26))</f>
        <v/>
      </c>
      <c r="R26" s="18" t="inlineStr">
        <is>
          <t>KATARGAM PAP</t>
        </is>
      </c>
      <c r="T26" s="18" t="n"/>
      <c r="V26" s="18" t="n"/>
    </row>
    <row r="27" ht="22" customHeight="1">
      <c r="A27" s="19" t="n">
        <v>23</v>
      </c>
      <c r="B27" s="10" t="n"/>
      <c r="C27" s="20">
        <f>IF(B27="","",IF(ISNA(MATCH(B27,Master!$E$5:$E$200,0)),"",INDEX(Master!$F$5:$F$200,MATCH(B27,Master!$E$5:$E$200,0))))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21">
        <f>IF(SUM(D27:O27)=0,"",SUM(D27:O27))</f>
        <v/>
      </c>
      <c r="R27" s="18" t="inlineStr">
        <is>
          <t>WHITE PUMPKIN</t>
        </is>
      </c>
      <c r="T27" s="18" t="n"/>
      <c r="V27" s="18" t="n"/>
    </row>
    <row r="28" ht="22" customHeight="1">
      <c r="A28" s="19" t="n">
        <v>24</v>
      </c>
      <c r="B28" s="10" t="n"/>
      <c r="C28" s="20">
        <f>IF(B28="","",IF(ISNA(MATCH(B28,Master!$E$5:$E$200,0)),"",INDEX(Master!$F$5:$F$200,MATCH(B28,Master!$E$5:$E$200,0))))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21">
        <f>IF(SUM(D28:O28)=0,"",SUM(D28:O28))</f>
        <v/>
      </c>
      <c r="R28" s="18" t="inlineStr">
        <is>
          <t>LEMON</t>
        </is>
      </c>
      <c r="T28" s="18" t="n"/>
      <c r="V28" s="18" t="n"/>
    </row>
    <row r="29" ht="22" customHeight="1">
      <c r="A29" s="19" t="n">
        <v>25</v>
      </c>
      <c r="B29" s="10" t="n"/>
      <c r="C29" s="20">
        <f>IF(B29="","",IF(ISNA(MATCH(B29,Master!$E$5:$E$200,0)),"",INDEX(Master!$F$5:$F$200,MATCH(B29,Master!$E$5:$E$200,0))))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21">
        <f>IF(SUM(D29:O29)=0,"",SUM(D29:O29))</f>
        <v/>
      </c>
      <c r="R29" s="18" t="inlineStr">
        <is>
          <t>CARROT (RED)</t>
        </is>
      </c>
      <c r="T29" s="18" t="n"/>
      <c r="V29" s="18" t="n"/>
    </row>
    <row r="30" ht="22" customHeight="1">
      <c r="A30" s="19" t="n">
        <v>26</v>
      </c>
      <c r="B30" s="10" t="n"/>
      <c r="C30" s="20">
        <f>IF(B30="","",IF(ISNA(MATCH(B30,Master!$E$5:$E$200,0)),"",INDEX(Master!$F$5:$F$200,MATCH(B30,Master!$E$5:$E$200,0))))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21">
        <f>IF(SUM(D30:O30)=0,"",SUM(D30:O30))</f>
        <v/>
      </c>
      <c r="R30" s="18" t="inlineStr">
        <is>
          <t>CARROT (ORANGE)</t>
        </is>
      </c>
      <c r="T30" s="18" t="n"/>
      <c r="V30" s="18" t="n"/>
    </row>
    <row r="31" ht="22" customHeight="1">
      <c r="A31" s="19" t="n">
        <v>27</v>
      </c>
      <c r="B31" s="10" t="n"/>
      <c r="C31" s="20">
        <f>IF(B31="","",IF(ISNA(MATCH(B31,Master!$E$5:$E$200,0)),"",INDEX(Master!$F$5:$F$200,MATCH(B31,Master!$E$5:$E$200,0))))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21">
        <f>IF(SUM(D31:O31)=0,"",SUM(D31:O31))</f>
        <v/>
      </c>
      <c r="R31" s="18" t="inlineStr">
        <is>
          <t>KAKDI</t>
        </is>
      </c>
      <c r="T31" s="18" t="n"/>
      <c r="V31" s="18" t="n"/>
    </row>
    <row r="32" ht="22" customHeight="1">
      <c r="A32" s="19" t="n">
        <v>28</v>
      </c>
      <c r="B32" s="10" t="n"/>
      <c r="C32" s="20">
        <f>IF(B32="","",IF(ISNA(MATCH(B32,Master!$E$5:$E$200,0)),"",INDEX(Master!$F$5:$F$200,MATCH(B32,Master!$E$5:$E$200,0))))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21">
        <f>IF(SUM(D32:O32)=0,"",SUM(D32:O32))</f>
        <v/>
      </c>
      <c r="R32" s="18" t="inlineStr">
        <is>
          <t>MOOLI</t>
        </is>
      </c>
      <c r="T32" s="18" t="n"/>
      <c r="V32" s="18" t="n"/>
    </row>
    <row r="33" ht="22" customHeight="1">
      <c r="A33" s="19" t="n">
        <v>29</v>
      </c>
      <c r="B33" s="10" t="n"/>
      <c r="C33" s="20">
        <f>IF(B33="","",IF(ISNA(MATCH(B33,Master!$E$5:$E$200,0)),"",INDEX(Master!$F$5:$F$200,MATCH(B33,Master!$E$5:$E$200,0))))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21">
        <f>IF(SUM(D33:O33)=0,"",SUM(D33:O33))</f>
        <v/>
      </c>
      <c r="R33" s="18" t="inlineStr">
        <is>
          <t>BEETROOT</t>
        </is>
      </c>
      <c r="T33" s="18" t="n"/>
      <c r="V33" s="18" t="n"/>
    </row>
    <row r="34" ht="22" customHeight="1">
      <c r="A34" s="19" t="n">
        <v>30</v>
      </c>
      <c r="B34" s="10" t="n"/>
      <c r="C34" s="20">
        <f>IF(B34="","",IF(ISNA(MATCH(B34,Master!$E$5:$E$200,0)),"",INDEX(Master!$F$5:$F$200,MATCH(B34,Master!$E$5:$E$200,0))))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21">
        <f>IF(SUM(D34:O34)=0,"",SUM(D34:O34))</f>
        <v/>
      </c>
      <c r="R34" s="18" t="inlineStr">
        <is>
          <t>CORN (MAKKAI)</t>
        </is>
      </c>
      <c r="T34" s="18" t="n"/>
      <c r="V34" s="18" t="n"/>
    </row>
    <row r="35" ht="22" customHeight="1">
      <c r="A35" s="19" t="n">
        <v>31</v>
      </c>
      <c r="B35" s="10" t="n"/>
      <c r="C35" s="20">
        <f>IF(B35="","",IF(ISNA(MATCH(B35,Master!$E$5:$E$200,0)),"",INDEX(Master!$F$5:$F$200,MATCH(B35,Master!$E$5:$E$200,0))))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21">
        <f>IF(SUM(D35:O35)=0,"",SUM(D35:O35))</f>
        <v/>
      </c>
      <c r="R35" s="18" t="inlineStr">
        <is>
          <t>METHI</t>
        </is>
      </c>
      <c r="T35" s="18" t="n"/>
      <c r="V35" s="18" t="n"/>
    </row>
    <row r="36" ht="22" customHeight="1">
      <c r="A36" s="19" t="n">
        <v>32</v>
      </c>
      <c r="B36" s="10" t="n"/>
      <c r="C36" s="20">
        <f>IF(B36="","",IF(ISNA(MATCH(B36,Master!$E$5:$E$200,0)),"",INDEX(Master!$F$5:$F$200,MATCH(B36,Master!$E$5:$E$200,0))))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21">
        <f>IF(SUM(D36:O36)=0,"",SUM(D36:O36))</f>
        <v/>
      </c>
      <c r="R36" s="18" t="inlineStr">
        <is>
          <t>PALAK</t>
        </is>
      </c>
      <c r="T36" s="18" t="n"/>
      <c r="V36" s="18" t="n"/>
    </row>
    <row r="37" ht="22" customHeight="1">
      <c r="A37" s="19" t="n">
        <v>33</v>
      </c>
      <c r="B37" s="10" t="n"/>
      <c r="C37" s="20">
        <f>IF(B37="","",IF(ISNA(MATCH(B37,Master!$E$5:$E$200,0)),"",INDEX(Master!$F$5:$F$200,MATCH(B37,Master!$E$5:$E$200,0))))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21">
        <f>IF(SUM(D37:O37)=0,"",SUM(D37:O37))</f>
        <v/>
      </c>
      <c r="R37" s="18" t="inlineStr">
        <is>
          <t>PUDINA</t>
        </is>
      </c>
      <c r="T37" s="18" t="n"/>
      <c r="V37" s="18" t="n"/>
    </row>
    <row r="38" ht="22" customHeight="1">
      <c r="A38" s="19" t="n">
        <v>34</v>
      </c>
      <c r="B38" s="10" t="n"/>
      <c r="C38" s="20">
        <f>IF(B38="","",IF(ISNA(MATCH(B38,Master!$E$5:$E$200,0)),"",INDEX(Master!$F$5:$F$200,MATCH(B38,Master!$E$5:$E$200,0))))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21">
        <f>IF(SUM(D38:O38)=0,"",SUM(D38:O38))</f>
        <v/>
      </c>
      <c r="R38" s="18" t="inlineStr">
        <is>
          <t>KADI PATTA</t>
        </is>
      </c>
      <c r="T38" s="18" t="n"/>
      <c r="V38" s="18" t="n"/>
    </row>
    <row r="39" ht="22" customHeight="1">
      <c r="A39" s="19" t="n">
        <v>35</v>
      </c>
      <c r="B39" s="10" t="n"/>
      <c r="C39" s="20">
        <f>IF(B39="","",IF(ISNA(MATCH(B39,Master!$E$5:$E$200,0)),"",INDEX(Master!$F$5:$F$200,MATCH(B39,Master!$E$5:$E$200,0))))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21">
        <f>IF(SUM(D39:O39)=0,"",SUM(D39:O39))</f>
        <v/>
      </c>
      <c r="R39" s="18" t="inlineStr">
        <is>
          <t>GREEN ONION</t>
        </is>
      </c>
      <c r="T39" s="18" t="n"/>
      <c r="V39" s="18" t="n"/>
    </row>
    <row r="40" ht="22" customHeight="1">
      <c r="A40" s="19" t="n">
        <v>36</v>
      </c>
      <c r="B40" s="10" t="n"/>
      <c r="C40" s="20">
        <f>IF(B40="","",IF(ISNA(MATCH(B40,Master!$E$5:$E$200,0)),"",INDEX(Master!$F$5:$F$200,MATCH(B40,Master!$E$5:$E$200,0))))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21">
        <f>IF(SUM(D40:O40)=0,"",SUM(D40:O40))</f>
        <v/>
      </c>
      <c r="R40" s="18" t="inlineStr">
        <is>
          <t>KACCHA BANANA</t>
        </is>
      </c>
      <c r="T40" s="18" t="n"/>
      <c r="V40" s="18" t="n"/>
    </row>
    <row r="41" ht="22" customHeight="1">
      <c r="A41" s="19" t="n">
        <v>37</v>
      </c>
      <c r="B41" s="10" t="n"/>
      <c r="C41" s="20">
        <f>IF(B41="","",IF(ISNA(MATCH(B41,Master!$E$5:$E$200,0)),"",INDEX(Master!$F$5:$F$200,MATCH(B41,Master!$E$5:$E$200,0))))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21">
        <f>IF(SUM(D41:O41)=0,"",SUM(D41:O41))</f>
        <v/>
      </c>
      <c r="R41" s="18" t="inlineStr">
        <is>
          <t>RED SIMLA</t>
        </is>
      </c>
      <c r="T41" s="18" t="n"/>
    </row>
    <row r="42" ht="22" customHeight="1">
      <c r="A42" s="19" t="n">
        <v>38</v>
      </c>
      <c r="B42" s="10" t="n"/>
      <c r="C42" s="20">
        <f>IF(B42="","",IF(ISNA(MATCH(B42,Master!$E$5:$E$200,0)),"",INDEX(Master!$F$5:$F$200,MATCH(B42,Master!$E$5:$E$200,0))))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21">
        <f>IF(SUM(D42:O42)=0,"",SUM(D42:O42))</f>
        <v/>
      </c>
      <c r="R42" s="18" t="inlineStr">
        <is>
          <t>YELLOW SIMLA</t>
        </is>
      </c>
      <c r="T42" s="18" t="n"/>
    </row>
    <row r="43" ht="22" customHeight="1">
      <c r="A43" s="19" t="n">
        <v>39</v>
      </c>
      <c r="B43" s="10" t="n"/>
      <c r="C43" s="20">
        <f>IF(B43="","",IF(ISNA(MATCH(B43,Master!$E$5:$E$200,0)),"",INDEX(Master!$F$5:$F$200,MATCH(B43,Master!$E$5:$E$200,0))))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21">
        <f>IF(SUM(D43:O43)=0,"",SUM(D43:O43))</f>
        <v/>
      </c>
      <c r="R43" s="18" t="inlineStr">
        <is>
          <t>BROKALI</t>
        </is>
      </c>
      <c r="T43" s="18" t="n"/>
    </row>
    <row r="44" ht="22" customHeight="1">
      <c r="A44" s="19" t="n">
        <v>40</v>
      </c>
      <c r="B44" s="10" t="n"/>
      <c r="C44" s="20">
        <f>IF(B44="","",IF(ISNA(MATCH(B44,Master!$E$5:$E$200,0)),"",INDEX(Master!$F$5:$F$200,MATCH(B44,Master!$E$5:$E$200,0))))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21">
        <f>IF(SUM(D44:O44)=0,"",SUM(D44:O44))</f>
        <v/>
      </c>
      <c r="R44" s="18" t="inlineStr">
        <is>
          <t>GREEN TEA</t>
        </is>
      </c>
      <c r="T44" s="18" t="n"/>
    </row>
    <row r="45" ht="22" customHeight="1">
      <c r="A45" s="19" t="n">
        <v>41</v>
      </c>
      <c r="B45" s="10" t="n"/>
      <c r="C45" s="20">
        <f>IF(B45="","",IF(ISNA(MATCH(B45,Master!$E$5:$E$200,0)),"",INDEX(Master!$F$5:$F$200,MATCH(B45,Master!$E$5:$E$200,0))))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21">
        <f>IF(SUM(D45:O45)=0,"",SUM(D45:O45))</f>
        <v/>
      </c>
      <c r="R45" s="18" t="inlineStr">
        <is>
          <t>BABY CORN</t>
        </is>
      </c>
      <c r="T45" s="18" t="n"/>
    </row>
    <row r="46" ht="22" customHeight="1">
      <c r="A46" s="19" t="n">
        <v>42</v>
      </c>
      <c r="B46" s="10" t="n"/>
      <c r="C46" s="20">
        <f>IF(B46="","",IF(ISNA(MATCH(B46,Master!$E$5:$E$200,0)),"",INDEX(Master!$F$5:$F$200,MATCH(B46,Master!$E$5:$E$200,0))))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21">
        <f>IF(SUM(D46:O46)=0,"",SUM(D46:O46))</f>
        <v/>
      </c>
      <c r="R46" s="18" t="inlineStr">
        <is>
          <t>LETTUCE</t>
        </is>
      </c>
      <c r="T46" s="18" t="n"/>
    </row>
    <row r="47" ht="22" customHeight="1">
      <c r="A47" s="19" t="n">
        <v>43</v>
      </c>
      <c r="B47" s="10" t="n"/>
      <c r="C47" s="20">
        <f>IF(B47="","",IF(ISNA(MATCH(B47,Master!$E$5:$E$200,0)),"",INDEX(Master!$F$5:$F$200,MATCH(B47,Master!$E$5:$E$200,0))))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21">
        <f>IF(SUM(D47:O47)=0,"",SUM(D47:O47))</f>
        <v/>
      </c>
      <c r="R47" s="18" t="inlineStr">
        <is>
          <t>CELERY</t>
        </is>
      </c>
      <c r="T47" s="18" t="n"/>
    </row>
    <row r="48" ht="22" customHeight="1">
      <c r="A48" s="19" t="n">
        <v>44</v>
      </c>
      <c r="B48" s="10" t="n"/>
      <c r="C48" s="20">
        <f>IF(B48="","",IF(ISNA(MATCH(B48,Master!$E$5:$E$200,0)),"",INDEX(Master!$F$5:$F$200,MATCH(B48,Master!$E$5:$E$200,0))))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21">
        <f>IF(SUM(D48:O48)=0,"",SUM(D48:O48))</f>
        <v/>
      </c>
      <c r="R48" s="18" t="inlineStr">
        <is>
          <t>PARSLEY</t>
        </is>
      </c>
      <c r="T48" s="18" t="n"/>
    </row>
    <row r="49" ht="22" customHeight="1">
      <c r="A49" s="19" t="n">
        <v>45</v>
      </c>
      <c r="B49" s="10" t="n"/>
      <c r="C49" s="20">
        <f>IF(B49="","",IF(ISNA(MATCH(B49,Master!$E$5:$E$200,0)),"",INDEX(Master!$F$5:$F$200,MATCH(B49,Master!$E$5:$E$200,0))))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21">
        <f>IF(SUM(D49:O49)=0,"",SUM(D49:O49))</f>
        <v/>
      </c>
      <c r="R49" s="18" t="inlineStr">
        <is>
          <t>BASIL</t>
        </is>
      </c>
      <c r="T49" s="18" t="n"/>
    </row>
    <row r="50" ht="22" customHeight="1">
      <c r="A50" s="19" t="n">
        <v>46</v>
      </c>
      <c r="B50" s="10" t="n"/>
      <c r="C50" s="20">
        <f>IF(B50="","",IF(ISNA(MATCH(B50,Master!$E$5:$E$200,0)),"",INDEX(Master!$F$5:$F$200,MATCH(B50,Master!$E$5:$E$200,0))))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21">
        <f>IF(SUM(D50:O50)=0,"",SUM(D50:O50))</f>
        <v/>
      </c>
      <c r="R50" s="18" t="inlineStr">
        <is>
          <t>FROZEN GARLIC</t>
        </is>
      </c>
      <c r="T50" s="18" t="n"/>
    </row>
    <row r="51" ht="22" customHeight="1">
      <c r="A51" s="19" t="n">
        <v>47</v>
      </c>
      <c r="B51" s="10" t="n"/>
      <c r="C51" s="20">
        <f>IF(B51="","",IF(ISNA(MATCH(B51,Master!$E$5:$E$200,0)),"",INDEX(Master!$F$5:$F$200,MATCH(B51,Master!$E$5:$E$200,0))))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21">
        <f>IF(SUM(D51:O51)=0,"",SUM(D51:O51))</f>
        <v/>
      </c>
      <c r="R51" s="18" t="inlineStr">
        <is>
          <t>FROZEN MATAR</t>
        </is>
      </c>
      <c r="T51" s="18" t="n"/>
    </row>
    <row r="52" ht="22" customHeight="1">
      <c r="A52" s="19" t="n">
        <v>48</v>
      </c>
      <c r="B52" s="10" t="n"/>
      <c r="C52" s="20">
        <f>IF(B52="","",IF(ISNA(MATCH(B52,Master!$E$5:$E$200,0)),"",INDEX(Master!$F$5:$F$200,MATCH(B52,Master!$E$5:$E$200,0))))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21">
        <f>IF(SUM(D52:O52)=0,"",SUM(D52:O52))</f>
        <v/>
      </c>
      <c r="R52" s="18" t="inlineStr">
        <is>
          <t>FROZEN CORN</t>
        </is>
      </c>
      <c r="T52" s="18" t="n"/>
    </row>
    <row r="53" ht="22" customHeight="1">
      <c r="A53" s="19" t="n">
        <v>49</v>
      </c>
      <c r="B53" s="10" t="n"/>
      <c r="C53" s="20">
        <f>IF(B53="","",IF(ISNA(MATCH(B53,Master!$E$5:$E$200,0)),"",INDEX(Master!$F$5:$F$200,MATCH(B53,Master!$E$5:$E$200,0))))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1">
        <f>IF(SUM(D53:O53)=0,"",SUM(D53:O53))</f>
        <v/>
      </c>
      <c r="R53" s="18" t="inlineStr">
        <is>
          <t>JHUGUI</t>
        </is>
      </c>
      <c r="T53" s="18" t="n"/>
    </row>
    <row r="54" ht="22" customHeight="1">
      <c r="A54" s="19" t="n">
        <v>50</v>
      </c>
      <c r="B54" s="10" t="n"/>
      <c r="C54" s="20">
        <f>IF(B54="","",IF(ISNA(MATCH(B54,Master!$E$5:$E$200,0)),"",INDEX(Master!$F$5:$F$200,MATCH(B54,Master!$E$5:$E$200,0))))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21">
        <f>IF(SUM(D54:O54)=0,"",SUM(D54:O54))</f>
        <v/>
      </c>
      <c r="R54" s="18" t="inlineStr">
        <is>
          <t>APPLE</t>
        </is>
      </c>
      <c r="T54" s="18" t="n"/>
    </row>
    <row r="55" ht="22" customHeight="1">
      <c r="A55" s="19" t="n">
        <v>51</v>
      </c>
      <c r="B55" s="10" t="n"/>
      <c r="C55" s="20">
        <f>IF(B55="","",IF(ISNA(MATCH(B55,Master!$E$5:$E$200,0)),"",INDEX(Master!$F$5:$F$200,MATCH(B55,Master!$E$5:$E$200,0))))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21">
        <f>IF(SUM(D55:O55)=0,"",SUM(D55:O55))</f>
        <v/>
      </c>
      <c r="R55" s="18" t="inlineStr">
        <is>
          <t>ORANGE</t>
        </is>
      </c>
      <c r="T55" s="18" t="n"/>
    </row>
    <row r="56" ht="22" customHeight="1">
      <c r="A56" s="19" t="n">
        <v>52</v>
      </c>
      <c r="B56" s="10" t="n"/>
      <c r="C56" s="20">
        <f>IF(B56="","",IF(ISNA(MATCH(B56,Master!$E$5:$E$200,0)),"",INDEX(Master!$F$5:$F$200,MATCH(B56,Master!$E$5:$E$200,0))))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21">
        <f>IF(SUM(D56:O56)=0,"",SUM(D56:O56))</f>
        <v/>
      </c>
      <c r="R56" s="18" t="inlineStr">
        <is>
          <t>GUAVA</t>
        </is>
      </c>
      <c r="T56" s="18" t="n"/>
    </row>
    <row r="57" ht="22" customHeight="1">
      <c r="A57" s="19" t="n">
        <v>53</v>
      </c>
      <c r="B57" s="10" t="n"/>
      <c r="C57" s="20">
        <f>IF(B57="","",IF(ISNA(MATCH(B57,Master!$E$5:$E$200,0)),"",INDEX(Master!$F$5:$F$200,MATCH(B57,Master!$E$5:$E$200,0))))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21">
        <f>IF(SUM(D57:O57)=0,"",SUM(D57:O57))</f>
        <v/>
      </c>
      <c r="R57" s="18" t="inlineStr">
        <is>
          <t>CHIKU</t>
        </is>
      </c>
      <c r="T57" s="18" t="n"/>
    </row>
    <row r="58" ht="22" customHeight="1">
      <c r="A58" s="19" t="n">
        <v>54</v>
      </c>
      <c r="B58" s="10" t="n"/>
      <c r="C58" s="20">
        <f>IF(B58="","",IF(ISNA(MATCH(B58,Master!$E$5:$E$200,0)),"",INDEX(Master!$F$5:$F$200,MATCH(B58,Master!$E$5:$E$200,0))))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21">
        <f>IF(SUM(D58:O58)=0,"",SUM(D58:O58))</f>
        <v/>
      </c>
      <c r="R58" s="18" t="inlineStr">
        <is>
          <t>BANANA</t>
        </is>
      </c>
      <c r="T58" s="18" t="n"/>
    </row>
    <row r="59" ht="22" customHeight="1">
      <c r="A59" s="19" t="n">
        <v>55</v>
      </c>
      <c r="B59" s="10" t="n"/>
      <c r="C59" s="20">
        <f>IF(B59="","",IF(ISNA(MATCH(B59,Master!$E$5:$E$200,0)),"",INDEX(Master!$F$5:$F$200,MATCH(B59,Master!$E$5:$E$200,0))))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21">
        <f>IF(SUM(D59:O59)=0,"",SUM(D59:O59))</f>
        <v/>
      </c>
      <c r="R59" s="18" t="inlineStr">
        <is>
          <t>PLUMS</t>
        </is>
      </c>
      <c r="T59" s="18" t="n"/>
    </row>
    <row r="60" ht="22" customHeight="1">
      <c r="A60" s="19" t="n">
        <v>56</v>
      </c>
      <c r="B60" s="10" t="n"/>
      <c r="C60" s="20">
        <f>IF(B60="","",IF(ISNA(MATCH(B60,Master!$E$5:$E$200,0)),"",INDEX(Master!$F$5:$F$200,MATCH(B60,Master!$E$5:$E$200,0))))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21">
        <f>IF(SUM(D60:O60)=0,"",SUM(D60:O60))</f>
        <v/>
      </c>
      <c r="R60" s="18" t="inlineStr">
        <is>
          <t>POME GRANATE</t>
        </is>
      </c>
      <c r="T60" s="18" t="n"/>
    </row>
    <row r="61" ht="22" customHeight="1">
      <c r="A61" s="19" t="n">
        <v>57</v>
      </c>
      <c r="B61" s="10" t="n"/>
      <c r="C61" s="20">
        <f>IF(B61="","",IF(ISNA(MATCH(B61,Master!$E$5:$E$200,0)),"",INDEX(Master!$F$5:$F$200,MATCH(B61,Master!$E$5:$E$200,0))))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21">
        <f>IF(SUM(D61:O61)=0,"",SUM(D61:O61))</f>
        <v/>
      </c>
      <c r="R61" s="18" t="inlineStr">
        <is>
          <t>GRAPS</t>
        </is>
      </c>
      <c r="T61" s="18" t="n"/>
    </row>
    <row r="62" ht="22" customHeight="1">
      <c r="A62" s="19" t="n">
        <v>58</v>
      </c>
      <c r="B62" s="10" t="n"/>
      <c r="C62" s="20">
        <f>IF(B62="","",IF(ISNA(MATCH(B62,Master!$E$5:$E$200,0)),"",INDEX(Master!$F$5:$F$200,MATCH(B62,Master!$E$5:$E$200,0))))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21">
        <f>IF(SUM(D62:O62)=0,"",SUM(D62:O62))</f>
        <v/>
      </c>
      <c r="R62" s="18" t="inlineStr">
        <is>
          <t>WATER MELON</t>
        </is>
      </c>
      <c r="T62" s="18" t="n"/>
    </row>
    <row r="63" ht="22" customHeight="1">
      <c r="A63" s="19" t="n">
        <v>59</v>
      </c>
      <c r="B63" s="10" t="n"/>
      <c r="C63" s="20">
        <f>IF(B63="","",IF(ISNA(MATCH(B63,Master!$E$5:$E$200,0)),"",INDEX(Master!$F$5:$F$200,MATCH(B63,Master!$E$5:$E$200,0))))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21">
        <f>IF(SUM(D63:O63)=0,"",SUM(D63:O63))</f>
        <v/>
      </c>
      <c r="R63" s="18" t="inlineStr">
        <is>
          <t>PAPAYA</t>
        </is>
      </c>
      <c r="T63" s="18" t="n"/>
    </row>
    <row r="64" ht="22" customHeight="1">
      <c r="A64" s="19" t="n">
        <v>60</v>
      </c>
      <c r="B64" s="10" t="n"/>
      <c r="C64" s="20">
        <f>IF(B64="","",IF(ISNA(MATCH(B64,Master!$E$5:$E$200,0)),"",INDEX(Master!$F$5:$F$200,MATCH(B64,Master!$E$5:$E$200,0))))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21">
        <f>IF(SUM(D64:O64)=0,"",SUM(D64:O64))</f>
        <v/>
      </c>
      <c r="R64" s="18" t="inlineStr">
        <is>
          <t>MOSAMBI</t>
        </is>
      </c>
      <c r="T64" s="18" t="n"/>
    </row>
    <row r="65">
      <c r="R65" s="18" t="inlineStr">
        <is>
          <t>MUSK MELON</t>
        </is>
      </c>
      <c r="T65" s="18" t="n"/>
    </row>
    <row r="66">
      <c r="R66" s="18" t="inlineStr">
        <is>
          <t>MANGO / STRAWBERRY</t>
        </is>
      </c>
      <c r="T66" s="18" t="n"/>
    </row>
    <row r="67">
      <c r="R67" s="18" t="inlineStr">
        <is>
          <t>PINEAPPLE</t>
        </is>
      </c>
      <c r="T67" s="18" t="n"/>
    </row>
    <row r="68">
      <c r="R68" s="18" t="inlineStr">
        <is>
          <t>NARIYAL PANI</t>
        </is>
      </c>
      <c r="T68" s="18" t="n"/>
    </row>
    <row r="69">
      <c r="R69" s="18" t="inlineStr">
        <is>
          <t>PANIPURI</t>
        </is>
      </c>
      <c r="T69" s="18" t="n"/>
    </row>
    <row r="70">
      <c r="R70" s="18" t="inlineStr">
        <is>
          <t>COLD DRINK</t>
        </is>
      </c>
      <c r="T70" s="18" t="n"/>
    </row>
    <row r="71">
      <c r="R71" s="18" t="inlineStr">
        <is>
          <t>BUTTER</t>
        </is>
      </c>
      <c r="T71" s="18" t="n"/>
    </row>
    <row r="72">
      <c r="R72" s="18" t="inlineStr">
        <is>
          <t>CHEESE</t>
        </is>
      </c>
      <c r="T72" s="18" t="n"/>
    </row>
    <row r="73">
      <c r="R73" s="18" t="inlineStr">
        <is>
          <t>PANEER</t>
        </is>
      </c>
      <c r="T73" s="18" t="n"/>
    </row>
    <row r="74">
      <c r="R74" s="18" t="inlineStr">
        <is>
          <t>BRADE</t>
        </is>
      </c>
      <c r="T74" s="18" t="n"/>
    </row>
    <row r="75">
      <c r="R75" s="18" t="inlineStr">
        <is>
          <t>PAV BHAJI / DABELI PAV</t>
        </is>
      </c>
      <c r="T75" s="18" t="n"/>
    </row>
    <row r="76">
      <c r="R76" s="18" t="n"/>
      <c r="T76" s="18" t="n"/>
    </row>
    <row r="77">
      <c r="R77" s="18" t="n"/>
      <c r="T77" s="18" t="n"/>
    </row>
    <row r="78">
      <c r="R78" s="18" t="n"/>
      <c r="T78" s="18" t="n"/>
    </row>
    <row r="79">
      <c r="R79" s="18" t="n"/>
      <c r="T79" s="18" t="n"/>
    </row>
    <row r="80">
      <c r="R80" s="18" t="n"/>
      <c r="T80" s="18" t="n"/>
    </row>
    <row r="81">
      <c r="R81" s="18" t="n"/>
      <c r="T81" s="18" t="n"/>
    </row>
    <row r="82">
      <c r="R82" s="18" t="n"/>
      <c r="T82" s="18" t="n"/>
    </row>
    <row r="83">
      <c r="R83" s="18" t="n"/>
      <c r="T83" s="18" t="n"/>
    </row>
    <row r="84">
      <c r="R84" s="18" t="n"/>
      <c r="T84" s="18" t="n"/>
    </row>
    <row r="85">
      <c r="R85" s="18" t="n"/>
      <c r="T85" s="18" t="n"/>
    </row>
    <row r="86">
      <c r="R86" s="18" t="n"/>
      <c r="T86" s="18" t="n"/>
    </row>
    <row r="87">
      <c r="R87" s="18" t="n"/>
      <c r="T87" s="18" t="n"/>
    </row>
    <row r="88">
      <c r="R88" s="18" t="n"/>
      <c r="T88" s="18" t="n"/>
    </row>
    <row r="89">
      <c r="R89" s="18" t="n"/>
      <c r="T89" s="18" t="n"/>
    </row>
    <row r="90">
      <c r="R90" s="18" t="n"/>
      <c r="T90" s="18" t="n"/>
    </row>
    <row r="91">
      <c r="R91" s="18" t="n"/>
      <c r="T91" s="18" t="n"/>
    </row>
    <row r="92">
      <c r="R92" s="18" t="n"/>
      <c r="T92" s="18" t="n"/>
    </row>
    <row r="93">
      <c r="R93" s="18" t="n"/>
      <c r="T93" s="18" t="n"/>
    </row>
    <row r="94">
      <c r="R94" s="18" t="n"/>
      <c r="T94" s="18" t="n"/>
    </row>
    <row r="95">
      <c r="R95" s="18" t="n"/>
      <c r="T95" s="18" t="n"/>
    </row>
    <row r="96">
      <c r="R96" s="18" t="n"/>
      <c r="T96" s="18" t="n"/>
    </row>
    <row r="97">
      <c r="R97" s="18" t="n"/>
      <c r="T97" s="18" t="n"/>
    </row>
    <row r="98">
      <c r="R98" s="18" t="n"/>
      <c r="T98" s="18" t="n"/>
    </row>
    <row r="99">
      <c r="R99" s="18" t="n"/>
      <c r="T99" s="18" t="n"/>
    </row>
    <row r="100">
      <c r="R100" s="18" t="n"/>
      <c r="T100" s="18" t="n"/>
    </row>
    <row r="101">
      <c r="R101" s="18" t="n"/>
    </row>
    <row r="102">
      <c r="R102" s="18" t="n"/>
    </row>
    <row r="103">
      <c r="R103" s="18" t="n"/>
    </row>
    <row r="104">
      <c r="R104" s="18" t="n"/>
    </row>
    <row r="105">
      <c r="R105" s="18" t="n"/>
    </row>
    <row r="106">
      <c r="R106" s="18" t="n"/>
    </row>
    <row r="107">
      <c r="R107" s="18" t="n"/>
    </row>
    <row r="108">
      <c r="R108" s="18" t="n"/>
    </row>
    <row r="109">
      <c r="R109" s="18" t="n"/>
    </row>
    <row r="110">
      <c r="R110" s="18" t="n"/>
    </row>
    <row r="111">
      <c r="R111" s="18" t="n"/>
    </row>
    <row r="112">
      <c r="R112" s="18" t="n"/>
    </row>
    <row r="113">
      <c r="R113" s="18" t="n"/>
    </row>
    <row r="114">
      <c r="R114" s="18" t="n"/>
    </row>
    <row r="115">
      <c r="R115" s="18" t="n"/>
    </row>
    <row r="116">
      <c r="R116" s="18" t="n"/>
    </row>
    <row r="117">
      <c r="R117" s="18" t="n"/>
    </row>
    <row r="118">
      <c r="R118" s="18" t="n"/>
    </row>
    <row r="119">
      <c r="R119" s="18" t="n"/>
    </row>
    <row r="120">
      <c r="R120" s="18" t="n"/>
    </row>
    <row r="121">
      <c r="R121" s="18" t="n"/>
    </row>
    <row r="122">
      <c r="R122" s="18" t="n"/>
    </row>
    <row r="123">
      <c r="R123" s="18" t="n"/>
    </row>
    <row r="124">
      <c r="R124" s="18" t="n"/>
    </row>
    <row r="125">
      <c r="R125" s="18" t="n"/>
    </row>
    <row r="126">
      <c r="R126" s="18" t="n"/>
    </row>
    <row r="127">
      <c r="R127" s="18" t="n"/>
    </row>
    <row r="128">
      <c r="R128" s="18" t="n"/>
    </row>
  </sheetData>
  <mergeCells count="4">
    <mergeCell ref="E2:P2"/>
    <mergeCell ref="R1:W1"/>
    <mergeCell ref="A1:P1"/>
    <mergeCell ref="B2:C2"/>
  </mergeCells>
  <dataValidations count="3">
    <dataValidation type="list" allowBlank="1" showInputMessage="1" showErrorMessage="1" sqref="B5:B64">
      <formula1>$R$4:$R$128</formula1>
    </dataValidation>
    <dataValidation type="list" allowBlank="1" showInputMessage="1" showErrorMessage="1" sqref="C5:C64">
      <formula1>$V$4:$V$40</formula1>
    </dataValidation>
    <dataValidation type="list" allowBlank="1" showInputMessage="1" showErrorMessage="1" sqref="D4:O4">
      <formula1>$T$4:$T$100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  <col width="2" customWidth="1" min="5" max="5"/>
    <col width="22" customWidth="1" min="6" max="6"/>
    <col width="2" customWidth="1" min="7" max="7"/>
    <col width="22" customWidth="1" min="8" max="8"/>
    <col width="2" customWidth="1" min="9" max="9"/>
    <col width="22" customWidth="1" min="10" max="10"/>
  </cols>
  <sheetData>
    <row r="1" ht="32" customHeight="1">
      <c r="A1" s="7" t="inlineStr">
        <is>
          <t>Price List - Mobile Gallery</t>
        </is>
      </c>
      <c r="F1" s="12" t="inlineStr">
        <is>
          <t>Dropdown Source - edit here to add new items / customers / units</t>
        </is>
      </c>
    </row>
    <row r="2" ht="24" customHeight="1">
      <c r="A2" s="13" t="inlineStr">
        <is>
          <t>Date</t>
        </is>
      </c>
      <c r="B2" s="14" t="n"/>
      <c r="C2" s="13" t="inlineStr">
        <is>
          <t>Customer</t>
        </is>
      </c>
      <c r="D2" s="10" t="n"/>
    </row>
    <row r="3" ht="8" customHeight="1">
      <c r="F3" s="16" t="inlineStr">
        <is>
          <t>ITEMS</t>
        </is>
      </c>
      <c r="H3" s="16" t="inlineStr">
        <is>
          <t>CUSTOMERS</t>
        </is>
      </c>
      <c r="J3" s="16" t="inlineStr">
        <is>
          <t>UNITS</t>
        </is>
      </c>
    </row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  <c r="F4" s="18" t="inlineStr">
        <is>
          <t>POTATO</t>
        </is>
      </c>
      <c r="H4" s="18" t="inlineStr">
        <is>
          <t>Fountainhead School</t>
        </is>
      </c>
      <c r="J4" s="18" t="inlineStr">
        <is>
          <t>KG</t>
        </is>
      </c>
    </row>
    <row r="5" ht="22" customHeight="1">
      <c r="A5" s="19" t="n">
        <v>1</v>
      </c>
      <c r="B5" s="10" t="n"/>
      <c r="C5" s="20">
        <f>IF(B5="","",IF(ISNA(MATCH(B5,Master!$E$5:$E$200,0)),"",INDEX(Master!$F$5:$F$200,MATCH(B5,Master!$E$5:$E$200,0))))</f>
        <v/>
      </c>
      <c r="D5" s="11">
        <f>IF(B5="","",IF(ISNA(MATCH(B5,Master!$E$5:$E$200,0)),"",INDEX(Master!$G$5:$G$200,MATCH(B5,Master!$E$5:$E$200,0))))</f>
        <v/>
      </c>
      <c r="F5" s="18" t="inlineStr">
        <is>
          <t>ONION</t>
        </is>
      </c>
      <c r="H5" s="18" t="inlineStr">
        <is>
          <t>G International-1 (Dandi)</t>
        </is>
      </c>
      <c r="J5" s="18" t="inlineStr">
        <is>
          <t>DOZEN</t>
        </is>
      </c>
    </row>
    <row r="6" ht="22" customHeight="1">
      <c r="A6" s="19" t="n">
        <v>2</v>
      </c>
      <c r="B6" s="10" t="n"/>
      <c r="C6" s="20">
        <f>IF(B6="","",IF(ISNA(MATCH(B6,Master!$E$5:$E$200,0)),"",INDEX(Master!$F$5:$F$200,MATCH(B6,Master!$E$5:$E$200,0))))</f>
        <v/>
      </c>
      <c r="D6" s="11">
        <f>IF(B6="","",IF(ISNA(MATCH(B6,Master!$E$5:$E$200,0)),"",INDEX(Master!$G$5:$G$200,MATCH(B6,Master!$E$5:$E$200,0))))</f>
        <v/>
      </c>
      <c r="F6" s="18" t="inlineStr">
        <is>
          <t>TOMATO</t>
        </is>
      </c>
      <c r="H6" s="18" t="inlineStr">
        <is>
          <t>G International-2 (DG Corp)</t>
        </is>
      </c>
      <c r="J6" s="18" t="inlineStr">
        <is>
          <t>PCS</t>
        </is>
      </c>
    </row>
    <row r="7" ht="22" customHeight="1">
      <c r="A7" s="19" t="n">
        <v>3</v>
      </c>
      <c r="B7" s="10" t="n"/>
      <c r="C7" s="20">
        <f>IF(B7="","",IF(ISNA(MATCH(B7,Master!$E$5:$E$200,0)),"",INDEX(Master!$F$5:$F$200,MATCH(B7,Master!$E$5:$E$200,0))))</f>
        <v/>
      </c>
      <c r="D7" s="11">
        <f>IF(B7="","",IF(ISNA(MATCH(B7,Master!$E$5:$E$200,0)),"",INDEX(Master!$G$5:$G$200,MATCH(B7,Master!$E$5:$E$200,0))))</f>
        <v/>
      </c>
      <c r="F7" s="18" t="inlineStr">
        <is>
          <t>GARLIC (LASUN)</t>
        </is>
      </c>
      <c r="H7" s="18" t="inlineStr">
        <is>
          <t>Gyan Mudra</t>
        </is>
      </c>
      <c r="J7" s="18" t="inlineStr">
        <is>
          <t>GM</t>
        </is>
      </c>
    </row>
    <row r="8" ht="22" customHeight="1">
      <c r="A8" s="19" t="n">
        <v>4</v>
      </c>
      <c r="B8" s="10" t="n"/>
      <c r="C8" s="20">
        <f>IF(B8="","",IF(ISNA(MATCH(B8,Master!$E$5:$E$200,0)),"",INDEX(Master!$F$5:$F$200,MATCH(B8,Master!$E$5:$E$200,0))))</f>
        <v/>
      </c>
      <c r="D8" s="11">
        <f>IF(B8="","",IF(ISNA(MATCH(B8,Master!$E$5:$E$200,0)),"",INDEX(Master!$G$5:$G$200,MATCH(B8,Master!$E$5:$E$200,0))))</f>
        <v/>
      </c>
      <c r="F8" s="18" t="inlineStr">
        <is>
          <t>GINGER (ADRAK)</t>
        </is>
      </c>
      <c r="H8" s="18" t="inlineStr">
        <is>
          <t>JNV (Vankal)</t>
        </is>
      </c>
      <c r="J8" s="18" t="inlineStr">
        <is>
          <t>PACKET</t>
        </is>
      </c>
    </row>
    <row r="9" ht="22" customHeight="1">
      <c r="A9" s="19" t="n">
        <v>5</v>
      </c>
      <c r="B9" s="10" t="n"/>
      <c r="C9" s="20">
        <f>IF(B9="","",IF(ISNA(MATCH(B9,Master!$E$5:$E$200,0)),"",INDEX(Master!$F$5:$F$200,MATCH(B9,Master!$E$5:$E$200,0))))</f>
        <v/>
      </c>
      <c r="D9" s="11">
        <f>IF(B9="","",IF(ISNA(MATCH(B9,Master!$E$5:$E$200,0)),"",INDEX(Master!$G$5:$G$200,MATCH(B9,Master!$E$5:$E$200,0))))</f>
        <v/>
      </c>
      <c r="F9" s="18" t="inlineStr">
        <is>
          <t>GREEN CHILLY</t>
        </is>
      </c>
      <c r="H9" s="18" t="inlineStr">
        <is>
          <t>JNV (Bhajipura)</t>
        </is>
      </c>
      <c r="J9" s="18" t="inlineStr">
        <is>
          <t>BUNCH</t>
        </is>
      </c>
    </row>
    <row r="10" ht="22" customHeight="1">
      <c r="A10" s="19" t="n">
        <v>6</v>
      </c>
      <c r="B10" s="10" t="n"/>
      <c r="C10" s="20">
        <f>IF(B10="","",IF(ISNA(MATCH(B10,Master!$E$5:$E$200,0)),"",INDEX(Master!$F$5:$F$200,MATCH(B10,Master!$E$5:$E$200,0))))</f>
        <v/>
      </c>
      <c r="D10" s="11">
        <f>IF(B10="","",IF(ISNA(MATCH(B10,Master!$E$5:$E$200,0)),"",INDEX(Master!$G$5:$G$200,MATCH(B10,Master!$E$5:$E$200,0))))</f>
        <v/>
      </c>
      <c r="F10" s="18" t="inlineStr">
        <is>
          <t>FAFADA MIRCH</t>
        </is>
      </c>
      <c r="H10" s="18" t="inlineStr">
        <is>
          <t>Gurukrupa (Udhna)</t>
        </is>
      </c>
      <c r="J10" s="18" t="inlineStr">
        <is>
          <t>BUNDLE</t>
        </is>
      </c>
    </row>
    <row r="11" ht="22" customHeight="1">
      <c r="A11" s="19" t="n">
        <v>7</v>
      </c>
      <c r="B11" s="10" t="n"/>
      <c r="C11" s="20">
        <f>IF(B11="","",IF(ISNA(MATCH(B11,Master!$E$5:$E$200,0)),"",INDEX(Master!$F$5:$F$200,MATCH(B11,Master!$E$5:$E$200,0))))</f>
        <v/>
      </c>
      <c r="D11" s="11">
        <f>IF(B11="","",IF(ISNA(MATCH(B11,Master!$E$5:$E$200,0)),"",INDEX(Master!$G$5:$G$200,MATCH(B11,Master!$E$5:$E$200,0))))</f>
        <v/>
      </c>
      <c r="F11" s="18" t="inlineStr">
        <is>
          <t>CORIANDER (DHANIYA)</t>
        </is>
      </c>
      <c r="H11" s="18" t="n"/>
      <c r="J11" s="18" t="inlineStr">
        <is>
          <t>BOX</t>
        </is>
      </c>
    </row>
    <row r="12" ht="22" customHeight="1">
      <c r="A12" s="19" t="n">
        <v>8</v>
      </c>
      <c r="B12" s="10" t="n"/>
      <c r="C12" s="20">
        <f>IF(B12="","",IF(ISNA(MATCH(B12,Master!$E$5:$E$200,0)),"",INDEX(Master!$F$5:$F$200,MATCH(B12,Master!$E$5:$E$200,0))))</f>
        <v/>
      </c>
      <c r="D12" s="11">
        <f>IF(B12="","",IF(ISNA(MATCH(B12,Master!$E$5:$E$200,0)),"",INDEX(Master!$G$5:$G$200,MATCH(B12,Master!$E$5:$E$200,0))))</f>
        <v/>
      </c>
      <c r="F12" s="18" t="inlineStr">
        <is>
          <t>KOBICH</t>
        </is>
      </c>
      <c r="H12" s="18" t="n"/>
      <c r="J12" s="18" t="inlineStr">
        <is>
          <t>CRATE</t>
        </is>
      </c>
    </row>
    <row r="13" ht="22" customHeight="1">
      <c r="A13" s="19" t="n">
        <v>9</v>
      </c>
      <c r="B13" s="10" t="n"/>
      <c r="C13" s="20">
        <f>IF(B13="","",IF(ISNA(MATCH(B13,Master!$E$5:$E$200,0)),"",INDEX(Master!$F$5:$F$200,MATCH(B13,Master!$E$5:$E$200,0))))</f>
        <v/>
      </c>
      <c r="D13" s="11">
        <f>IF(B13="","",IF(ISNA(MATCH(B13,Master!$E$5:$E$200,0)),"",INDEX(Master!$G$5:$G$200,MATCH(B13,Master!$E$5:$E$200,0))))</f>
        <v/>
      </c>
      <c r="F13" s="18" t="inlineStr">
        <is>
          <t>GAULI FLOWER</t>
        </is>
      </c>
      <c r="H13" s="18" t="n"/>
      <c r="J13" s="18" t="inlineStr">
        <is>
          <t>LITRE</t>
        </is>
      </c>
    </row>
    <row r="14" ht="22" customHeight="1">
      <c r="A14" s="19" t="n">
        <v>10</v>
      </c>
      <c r="B14" s="10" t="n"/>
      <c r="C14" s="20">
        <f>IF(B14="","",IF(ISNA(MATCH(B14,Master!$E$5:$E$200,0)),"",INDEX(Master!$F$5:$F$200,MATCH(B14,Master!$E$5:$E$200,0))))</f>
        <v/>
      </c>
      <c r="D14" s="11">
        <f>IF(B14="","",IF(ISNA(MATCH(B14,Master!$E$5:$E$200,0)),"",INDEX(Master!$G$5:$G$200,MATCH(B14,Master!$E$5:$E$200,0))))</f>
        <v/>
      </c>
      <c r="F14" s="18" t="inlineStr">
        <is>
          <t>BINAPATTE KA FLOWER</t>
        </is>
      </c>
      <c r="H14" s="18" t="n"/>
      <c r="J14" s="18" t="inlineStr">
        <is>
          <t>GUNI</t>
        </is>
      </c>
    </row>
    <row r="15" ht="22" customHeight="1">
      <c r="A15" s="19" t="n">
        <v>11</v>
      </c>
      <c r="B15" s="10" t="n"/>
      <c r="C15" s="20">
        <f>IF(B15="","",IF(ISNA(MATCH(B15,Master!$E$5:$E$200,0)),"",INDEX(Master!$F$5:$F$200,MATCH(B15,Master!$E$5:$E$200,0))))</f>
        <v/>
      </c>
      <c r="D15" s="11">
        <f>IF(B15="","",IF(ISNA(MATCH(B15,Master!$E$5:$E$200,0)),"",INDEX(Master!$G$5:$G$200,MATCH(B15,Master!$E$5:$E$200,0))))</f>
        <v/>
      </c>
      <c r="F15" s="18" t="inlineStr">
        <is>
          <t>LAUKI</t>
        </is>
      </c>
      <c r="H15" s="18" t="n"/>
      <c r="J15" s="18" t="n"/>
    </row>
    <row r="16" ht="22" customHeight="1">
      <c r="A16" s="19" t="n">
        <v>12</v>
      </c>
      <c r="B16" s="10" t="n"/>
      <c r="C16" s="20">
        <f>IF(B16="","",IF(ISNA(MATCH(B16,Master!$E$5:$E$200,0)),"",INDEX(Master!$F$5:$F$200,MATCH(B16,Master!$E$5:$E$200,0))))</f>
        <v/>
      </c>
      <c r="D16" s="11">
        <f>IF(B16="","",IF(ISNA(MATCH(B16,Master!$E$5:$E$200,0)),"",INDEX(Master!$G$5:$G$200,MATCH(B16,Master!$E$5:$E$200,0))))</f>
        <v/>
      </c>
      <c r="F16" s="18" t="inlineStr">
        <is>
          <t>BHINDI</t>
        </is>
      </c>
      <c r="H16" s="18" t="n"/>
      <c r="J16" s="18" t="n"/>
    </row>
    <row r="17" ht="22" customHeight="1">
      <c r="A17" s="19" t="n">
        <v>13</v>
      </c>
      <c r="B17" s="10" t="n"/>
      <c r="C17" s="20">
        <f>IF(B17="","",IF(ISNA(MATCH(B17,Master!$E$5:$E$200,0)),"",INDEX(Master!$F$5:$F$200,MATCH(B17,Master!$E$5:$E$200,0))))</f>
        <v/>
      </c>
      <c r="D17" s="11">
        <f>IF(B17="","",IF(ISNA(MATCH(B17,Master!$E$5:$E$200,0)),"",INDEX(Master!$G$5:$G$200,MATCH(B17,Master!$E$5:$E$200,0))))</f>
        <v/>
      </c>
      <c r="F17" s="18" t="inlineStr">
        <is>
          <t>BRINJAL</t>
        </is>
      </c>
      <c r="H17" s="18" t="n"/>
      <c r="J17" s="18" t="n"/>
    </row>
    <row r="18" ht="22" customHeight="1">
      <c r="A18" s="19" t="n">
        <v>14</v>
      </c>
      <c r="B18" s="10" t="n"/>
      <c r="C18" s="20">
        <f>IF(B18="","",IF(ISNA(MATCH(B18,Master!$E$5:$E$200,0)),"",INDEX(Master!$F$5:$F$200,MATCH(B18,Master!$E$5:$E$200,0))))</f>
        <v/>
      </c>
      <c r="D18" s="11">
        <f>IF(B18="","",IF(ISNA(MATCH(B18,Master!$E$5:$E$200,0)),"",INDEX(Master!$G$5:$G$200,MATCH(B18,Master!$E$5:$E$200,0))))</f>
        <v/>
      </c>
      <c r="F18" s="18" t="inlineStr">
        <is>
          <t>TINDORA</t>
        </is>
      </c>
      <c r="H18" s="18" t="n"/>
      <c r="J18" s="18" t="n"/>
    </row>
    <row r="19" ht="22" customHeight="1">
      <c r="A19" s="19" t="n">
        <v>15</v>
      </c>
      <c r="B19" s="10" t="n"/>
      <c r="C19" s="20">
        <f>IF(B19="","",IF(ISNA(MATCH(B19,Master!$E$5:$E$200,0)),"",INDEX(Master!$F$5:$F$200,MATCH(B19,Master!$E$5:$E$200,0))))</f>
        <v/>
      </c>
      <c r="D19" s="11">
        <f>IF(B19="","",IF(ISNA(MATCH(B19,Master!$E$5:$E$200,0)),"",INDEX(Master!$G$5:$G$200,MATCH(B19,Master!$E$5:$E$200,0))))</f>
        <v/>
      </c>
      <c r="F19" s="18" t="inlineStr">
        <is>
          <t>PARVAL</t>
        </is>
      </c>
      <c r="H19" s="18" t="n"/>
      <c r="J19" s="18" t="n"/>
    </row>
    <row r="20" ht="22" customHeight="1">
      <c r="A20" s="19" t="n">
        <v>16</v>
      </c>
      <c r="B20" s="10" t="n"/>
      <c r="C20" s="20">
        <f>IF(B20="","",IF(ISNA(MATCH(B20,Master!$E$5:$E$200,0)),"",INDEX(Master!$F$5:$F$200,MATCH(B20,Master!$E$5:$E$200,0))))</f>
        <v/>
      </c>
      <c r="D20" s="11">
        <f>IF(B20="","",IF(ISNA(MATCH(B20,Master!$E$5:$E$200,0)),"",INDEX(Master!$G$5:$G$200,MATCH(B20,Master!$E$5:$E$200,0))))</f>
        <v/>
      </c>
      <c r="F20" s="18" t="inlineStr">
        <is>
          <t>TURIYA</t>
        </is>
      </c>
      <c r="H20" s="18" t="n"/>
      <c r="J20" s="18" t="n"/>
    </row>
    <row r="21" ht="22" customHeight="1">
      <c r="A21" s="19" t="n">
        <v>17</v>
      </c>
      <c r="B21" s="10" t="n"/>
      <c r="C21" s="20">
        <f>IF(B21="","",IF(ISNA(MATCH(B21,Master!$E$5:$E$200,0)),"",INDEX(Master!$F$5:$F$200,MATCH(B21,Master!$E$5:$E$200,0))))</f>
        <v/>
      </c>
      <c r="D21" s="11">
        <f>IF(B21="","",IF(ISNA(MATCH(B21,Master!$E$5:$E$200,0)),"",INDEX(Master!$G$5:$G$200,MATCH(B21,Master!$E$5:$E$200,0))))</f>
        <v/>
      </c>
      <c r="F21" s="18" t="inlineStr">
        <is>
          <t>SIMLA MIRCH</t>
        </is>
      </c>
      <c r="H21" s="18" t="n"/>
      <c r="J21" s="18" t="n"/>
    </row>
    <row r="22" ht="22" customHeight="1">
      <c r="A22" s="19" t="n">
        <v>18</v>
      </c>
      <c r="B22" s="10" t="n"/>
      <c r="C22" s="20">
        <f>IF(B22="","",IF(ISNA(MATCH(B22,Master!$E$5:$E$200,0)),"",INDEX(Master!$F$5:$F$200,MATCH(B22,Master!$E$5:$E$200,0))))</f>
        <v/>
      </c>
      <c r="D22" s="11">
        <f>IF(B22="","",IF(ISNA(MATCH(B22,Master!$E$5:$E$200,0)),"",INDEX(Master!$G$5:$G$200,MATCH(B22,Master!$E$5:$E$200,0))))</f>
        <v/>
      </c>
      <c r="F22" s="18" t="inlineStr">
        <is>
          <t>FANSI</t>
        </is>
      </c>
      <c r="H22" s="18" t="n"/>
      <c r="J22" s="18" t="n"/>
    </row>
    <row r="23" ht="22" customHeight="1">
      <c r="A23" s="19" t="n">
        <v>19</v>
      </c>
      <c r="B23" s="10" t="n"/>
      <c r="C23" s="20">
        <f>IF(B23="","",IF(ISNA(MATCH(B23,Master!$E$5:$E$200,0)),"",INDEX(Master!$F$5:$F$200,MATCH(B23,Master!$E$5:$E$200,0))))</f>
        <v/>
      </c>
      <c r="D23" s="11">
        <f>IF(B23="","",IF(ISNA(MATCH(B23,Master!$E$5:$E$200,0)),"",INDEX(Master!$G$5:$G$200,MATCH(B23,Master!$E$5:$E$200,0))))</f>
        <v/>
      </c>
      <c r="F23" s="18" t="inlineStr">
        <is>
          <t>GUVAR</t>
        </is>
      </c>
      <c r="H23" s="18" t="n"/>
      <c r="J23" s="18" t="n"/>
    </row>
    <row r="24" ht="22" customHeight="1">
      <c r="A24" s="19" t="n">
        <v>20</v>
      </c>
      <c r="B24" s="10" t="n"/>
      <c r="C24" s="20">
        <f>IF(B24="","",IF(ISNA(MATCH(B24,Master!$E$5:$E$200,0)),"",INDEX(Master!$F$5:$F$200,MATCH(B24,Master!$E$5:$E$200,0))))</f>
        <v/>
      </c>
      <c r="D24" s="11">
        <f>IF(B24="","",IF(ISNA(MATCH(B24,Master!$E$5:$E$200,0)),"",INDEX(Master!$G$5:$G$200,MATCH(B24,Master!$E$5:$E$200,0))))</f>
        <v/>
      </c>
      <c r="F24" s="18" t="inlineStr">
        <is>
          <t>SARAGVA SING</t>
        </is>
      </c>
      <c r="H24" s="18" t="n"/>
      <c r="J24" s="18" t="n"/>
    </row>
    <row r="25" ht="22" customHeight="1">
      <c r="A25" s="19" t="n">
        <v>21</v>
      </c>
      <c r="B25" s="10" t="n"/>
      <c r="C25" s="20">
        <f>IF(B25="","",IF(ISNA(MATCH(B25,Master!$E$5:$E$200,0)),"",INDEX(Master!$F$5:$F$200,MATCH(B25,Master!$E$5:$E$200,0))))</f>
        <v/>
      </c>
      <c r="D25" s="11">
        <f>IF(B25="","",IF(ISNA(MATCH(B25,Master!$E$5:$E$200,0)),"",INDEX(Master!$G$5:$G$200,MATCH(B25,Master!$E$5:$E$200,0))))</f>
        <v/>
      </c>
      <c r="F25" s="18" t="inlineStr">
        <is>
          <t>GREEN PEACE</t>
        </is>
      </c>
      <c r="H25" s="18" t="n"/>
      <c r="J25" s="18" t="n"/>
    </row>
    <row r="26" ht="22" customHeight="1">
      <c r="A26" s="19" t="n">
        <v>22</v>
      </c>
      <c r="B26" s="10" t="n"/>
      <c r="C26" s="20">
        <f>IF(B26="","",IF(ISNA(MATCH(B26,Master!$E$5:$E$200,0)),"",INDEX(Master!$F$5:$F$200,MATCH(B26,Master!$E$5:$E$200,0))))</f>
        <v/>
      </c>
      <c r="D26" s="11">
        <f>IF(B26="","",IF(ISNA(MATCH(B26,Master!$E$5:$E$200,0)),"",INDEX(Master!$G$5:$G$200,MATCH(B26,Master!$E$5:$E$200,0))))</f>
        <v/>
      </c>
      <c r="F26" s="18" t="inlineStr">
        <is>
          <t>KATARGAM PAP</t>
        </is>
      </c>
      <c r="H26" s="18" t="n"/>
      <c r="J26" s="18" t="n"/>
    </row>
    <row r="27" ht="22" customHeight="1">
      <c r="A27" s="19" t="n">
        <v>23</v>
      </c>
      <c r="B27" s="10" t="n"/>
      <c r="C27" s="20">
        <f>IF(B27="","",IF(ISNA(MATCH(B27,Master!$E$5:$E$200,0)),"",INDEX(Master!$F$5:$F$200,MATCH(B27,Master!$E$5:$E$200,0))))</f>
        <v/>
      </c>
      <c r="D27" s="11">
        <f>IF(B27="","",IF(ISNA(MATCH(B27,Master!$E$5:$E$200,0)),"",INDEX(Master!$G$5:$G$200,MATCH(B27,Master!$E$5:$E$200,0))))</f>
        <v/>
      </c>
      <c r="F27" s="18" t="inlineStr">
        <is>
          <t>WHITE PUMPKIN</t>
        </is>
      </c>
      <c r="H27" s="18" t="n"/>
      <c r="J27" s="18" t="n"/>
    </row>
    <row r="28" ht="22" customHeight="1">
      <c r="A28" s="19" t="n">
        <v>24</v>
      </c>
      <c r="B28" s="10" t="n"/>
      <c r="C28" s="20">
        <f>IF(B28="","",IF(ISNA(MATCH(B28,Master!$E$5:$E$200,0)),"",INDEX(Master!$F$5:$F$200,MATCH(B28,Master!$E$5:$E$200,0))))</f>
        <v/>
      </c>
      <c r="D28" s="11">
        <f>IF(B28="","",IF(ISNA(MATCH(B28,Master!$E$5:$E$200,0)),"",INDEX(Master!$G$5:$G$200,MATCH(B28,Master!$E$5:$E$200,0))))</f>
        <v/>
      </c>
      <c r="F28" s="18" t="inlineStr">
        <is>
          <t>LEMON</t>
        </is>
      </c>
      <c r="H28" s="18" t="n"/>
      <c r="J28" s="18" t="n"/>
    </row>
    <row r="29" ht="22" customHeight="1">
      <c r="A29" s="19" t="n">
        <v>25</v>
      </c>
      <c r="B29" s="10" t="n"/>
      <c r="C29" s="20">
        <f>IF(B29="","",IF(ISNA(MATCH(B29,Master!$E$5:$E$200,0)),"",INDEX(Master!$F$5:$F$200,MATCH(B29,Master!$E$5:$E$200,0))))</f>
        <v/>
      </c>
      <c r="D29" s="11">
        <f>IF(B29="","",IF(ISNA(MATCH(B29,Master!$E$5:$E$200,0)),"",INDEX(Master!$G$5:$G$200,MATCH(B29,Master!$E$5:$E$200,0))))</f>
        <v/>
      </c>
      <c r="F29" s="18" t="inlineStr">
        <is>
          <t>CARROT (RED)</t>
        </is>
      </c>
      <c r="H29" s="18" t="n"/>
      <c r="J29" s="18" t="n"/>
    </row>
    <row r="30" ht="22" customHeight="1">
      <c r="A30" s="19" t="n">
        <v>26</v>
      </c>
      <c r="B30" s="10" t="n"/>
      <c r="C30" s="20">
        <f>IF(B30="","",IF(ISNA(MATCH(B30,Master!$E$5:$E$200,0)),"",INDEX(Master!$F$5:$F$200,MATCH(B30,Master!$E$5:$E$200,0))))</f>
        <v/>
      </c>
      <c r="D30" s="11">
        <f>IF(B30="","",IF(ISNA(MATCH(B30,Master!$E$5:$E$200,0)),"",INDEX(Master!$G$5:$G$200,MATCH(B30,Master!$E$5:$E$200,0))))</f>
        <v/>
      </c>
      <c r="F30" s="18" t="inlineStr">
        <is>
          <t>CARROT (ORANGE)</t>
        </is>
      </c>
      <c r="H30" s="18" t="n"/>
      <c r="J30" s="18" t="n"/>
    </row>
    <row r="31" ht="22" customHeight="1">
      <c r="A31" s="19" t="n">
        <v>27</v>
      </c>
      <c r="B31" s="10" t="n"/>
      <c r="C31" s="20">
        <f>IF(B31="","",IF(ISNA(MATCH(B31,Master!$E$5:$E$200,0)),"",INDEX(Master!$F$5:$F$200,MATCH(B31,Master!$E$5:$E$200,0))))</f>
        <v/>
      </c>
      <c r="D31" s="11">
        <f>IF(B31="","",IF(ISNA(MATCH(B31,Master!$E$5:$E$200,0)),"",INDEX(Master!$G$5:$G$200,MATCH(B31,Master!$E$5:$E$200,0))))</f>
        <v/>
      </c>
      <c r="F31" s="18" t="inlineStr">
        <is>
          <t>KAKDI</t>
        </is>
      </c>
      <c r="H31" s="18" t="n"/>
      <c r="J31" s="18" t="n"/>
    </row>
    <row r="32" ht="22" customHeight="1">
      <c r="A32" s="19" t="n">
        <v>28</v>
      </c>
      <c r="B32" s="10" t="n"/>
      <c r="C32" s="20">
        <f>IF(B32="","",IF(ISNA(MATCH(B32,Master!$E$5:$E$200,0)),"",INDEX(Master!$F$5:$F$200,MATCH(B32,Master!$E$5:$E$200,0))))</f>
        <v/>
      </c>
      <c r="D32" s="11">
        <f>IF(B32="","",IF(ISNA(MATCH(B32,Master!$E$5:$E$200,0)),"",INDEX(Master!$G$5:$G$200,MATCH(B32,Master!$E$5:$E$200,0))))</f>
        <v/>
      </c>
      <c r="F32" s="18" t="inlineStr">
        <is>
          <t>MOOLI</t>
        </is>
      </c>
      <c r="H32" s="18" t="n"/>
      <c r="J32" s="18" t="n"/>
    </row>
    <row r="33" ht="22" customHeight="1">
      <c r="A33" s="19" t="n">
        <v>29</v>
      </c>
      <c r="B33" s="10" t="n"/>
      <c r="C33" s="20">
        <f>IF(B33="","",IF(ISNA(MATCH(B33,Master!$E$5:$E$200,0)),"",INDEX(Master!$F$5:$F$200,MATCH(B33,Master!$E$5:$E$200,0))))</f>
        <v/>
      </c>
      <c r="D33" s="11">
        <f>IF(B33="","",IF(ISNA(MATCH(B33,Master!$E$5:$E$200,0)),"",INDEX(Master!$G$5:$G$200,MATCH(B33,Master!$E$5:$E$200,0))))</f>
        <v/>
      </c>
      <c r="F33" s="18" t="inlineStr">
        <is>
          <t>BEETROOT</t>
        </is>
      </c>
      <c r="H33" s="18" t="n"/>
      <c r="J33" s="18" t="n"/>
    </row>
    <row r="34" ht="22" customHeight="1">
      <c r="A34" s="19" t="n">
        <v>30</v>
      </c>
      <c r="B34" s="10" t="n"/>
      <c r="C34" s="20">
        <f>IF(B34="","",IF(ISNA(MATCH(B34,Master!$E$5:$E$200,0)),"",INDEX(Master!$F$5:$F$200,MATCH(B34,Master!$E$5:$E$200,0))))</f>
        <v/>
      </c>
      <c r="D34" s="11">
        <f>IF(B34="","",IF(ISNA(MATCH(B34,Master!$E$5:$E$200,0)),"",INDEX(Master!$G$5:$G$200,MATCH(B34,Master!$E$5:$E$200,0))))</f>
        <v/>
      </c>
      <c r="F34" s="18" t="inlineStr">
        <is>
          <t>CORN (MAKKAI)</t>
        </is>
      </c>
      <c r="H34" s="18" t="n"/>
      <c r="J34" s="18" t="n"/>
    </row>
    <row r="35">
      <c r="F35" s="18" t="inlineStr">
        <is>
          <t>METHI</t>
        </is>
      </c>
      <c r="H35" s="18" t="n"/>
      <c r="J35" s="18" t="n"/>
    </row>
    <row r="36" ht="32" customHeight="1">
      <c r="A36" s="22" t="inlineStr">
        <is>
          <t>Rate auto-fills from Master. Type over any rate cell to quote a different price for this customer only.</t>
        </is>
      </c>
      <c r="F36" s="18" t="inlineStr">
        <is>
          <t>PALAK</t>
        </is>
      </c>
      <c r="H36" s="18" t="n"/>
      <c r="J36" s="18" t="n"/>
    </row>
    <row r="37">
      <c r="F37" s="18" t="inlineStr">
        <is>
          <t>PUDINA</t>
        </is>
      </c>
      <c r="H37" s="18" t="n"/>
      <c r="J37" s="18" t="n"/>
    </row>
    <row r="38">
      <c r="F38" s="18" t="inlineStr">
        <is>
          <t>KADI PATTA</t>
        </is>
      </c>
      <c r="H38" s="18" t="n"/>
      <c r="J38" s="18" t="n"/>
    </row>
    <row r="39">
      <c r="F39" s="18" t="inlineStr">
        <is>
          <t>GREEN ONION</t>
        </is>
      </c>
      <c r="H39" s="18" t="n"/>
      <c r="J39" s="18" t="n"/>
    </row>
    <row r="40">
      <c r="F40" s="18" t="inlineStr">
        <is>
          <t>KACCHA BANANA</t>
        </is>
      </c>
      <c r="H40" s="18" t="n"/>
      <c r="J40" s="18" t="n"/>
    </row>
    <row r="41">
      <c r="F41" s="18" t="inlineStr">
        <is>
          <t>RED SIMLA</t>
        </is>
      </c>
      <c r="H41" s="18" t="n"/>
    </row>
    <row r="42">
      <c r="F42" s="18" t="inlineStr">
        <is>
          <t>YELLOW SIMLA</t>
        </is>
      </c>
      <c r="H42" s="18" t="n"/>
    </row>
    <row r="43">
      <c r="F43" s="18" t="inlineStr">
        <is>
          <t>BROKALI</t>
        </is>
      </c>
      <c r="H43" s="18" t="n"/>
    </row>
    <row r="44">
      <c r="F44" s="18" t="inlineStr">
        <is>
          <t>GREEN TEA</t>
        </is>
      </c>
      <c r="H44" s="18" t="n"/>
    </row>
    <row r="45">
      <c r="F45" s="18" t="inlineStr">
        <is>
          <t>BABY CORN</t>
        </is>
      </c>
      <c r="H45" s="18" t="n"/>
    </row>
    <row r="46">
      <c r="F46" s="18" t="inlineStr">
        <is>
          <t>LETTUCE</t>
        </is>
      </c>
      <c r="H46" s="18" t="n"/>
    </row>
    <row r="47">
      <c r="F47" s="18" t="inlineStr">
        <is>
          <t>CELERY</t>
        </is>
      </c>
      <c r="H47" s="18" t="n"/>
    </row>
    <row r="48">
      <c r="F48" s="18" t="inlineStr">
        <is>
          <t>PARSLEY</t>
        </is>
      </c>
      <c r="H48" s="18" t="n"/>
    </row>
    <row r="49">
      <c r="F49" s="18" t="inlineStr">
        <is>
          <t>BASIL</t>
        </is>
      </c>
      <c r="H49" s="18" t="n"/>
    </row>
    <row r="50">
      <c r="F50" s="18" t="inlineStr">
        <is>
          <t>FROZEN GARLIC</t>
        </is>
      </c>
      <c r="H50" s="18" t="n"/>
    </row>
    <row r="51">
      <c r="F51" s="18" t="inlineStr">
        <is>
          <t>FROZEN MATAR</t>
        </is>
      </c>
      <c r="H51" s="18" t="n"/>
    </row>
    <row r="52">
      <c r="F52" s="18" t="inlineStr">
        <is>
          <t>FROZEN CORN</t>
        </is>
      </c>
      <c r="H52" s="18" t="n"/>
    </row>
    <row r="53">
      <c r="F53" s="18" t="inlineStr">
        <is>
          <t>JHUGUI</t>
        </is>
      </c>
      <c r="H53" s="18" t="n"/>
    </row>
    <row r="54">
      <c r="F54" s="18" t="inlineStr">
        <is>
          <t>APPLE</t>
        </is>
      </c>
      <c r="H54" s="18" t="n"/>
    </row>
    <row r="55">
      <c r="F55" s="18" t="inlineStr">
        <is>
          <t>ORANGE</t>
        </is>
      </c>
      <c r="H55" s="18" t="n"/>
    </row>
    <row r="56">
      <c r="F56" s="18" t="inlineStr">
        <is>
          <t>GUAVA</t>
        </is>
      </c>
      <c r="H56" s="18" t="n"/>
    </row>
    <row r="57">
      <c r="F57" s="18" t="inlineStr">
        <is>
          <t>CHIKU</t>
        </is>
      </c>
      <c r="H57" s="18" t="n"/>
    </row>
    <row r="58">
      <c r="F58" s="18" t="inlineStr">
        <is>
          <t>BANANA</t>
        </is>
      </c>
      <c r="H58" s="18" t="n"/>
    </row>
    <row r="59">
      <c r="F59" s="18" t="inlineStr">
        <is>
          <t>PLUMS</t>
        </is>
      </c>
      <c r="H59" s="18" t="n"/>
    </row>
    <row r="60">
      <c r="F60" s="18" t="inlineStr">
        <is>
          <t>POME GRANATE</t>
        </is>
      </c>
      <c r="H60" s="18" t="n"/>
    </row>
    <row r="61">
      <c r="F61" s="18" t="inlineStr">
        <is>
          <t>GRAPS</t>
        </is>
      </c>
      <c r="H61" s="18" t="n"/>
    </row>
    <row r="62">
      <c r="F62" s="18" t="inlineStr">
        <is>
          <t>WATER MELON</t>
        </is>
      </c>
      <c r="H62" s="18" t="n"/>
    </row>
    <row r="63">
      <c r="F63" s="18" t="inlineStr">
        <is>
          <t>PAPAYA</t>
        </is>
      </c>
      <c r="H63" s="18" t="n"/>
    </row>
    <row r="64">
      <c r="F64" s="18" t="inlineStr">
        <is>
          <t>MOSAMBI</t>
        </is>
      </c>
      <c r="H64" s="18" t="n"/>
    </row>
    <row r="65">
      <c r="F65" s="18" t="inlineStr">
        <is>
          <t>MUSK MELON</t>
        </is>
      </c>
      <c r="H65" s="18" t="n"/>
    </row>
    <row r="66">
      <c r="F66" s="18" t="inlineStr">
        <is>
          <t>MANGO / STRAWBERRY</t>
        </is>
      </c>
      <c r="H66" s="18" t="n"/>
    </row>
    <row r="67">
      <c r="F67" s="18" t="inlineStr">
        <is>
          <t>PINEAPPLE</t>
        </is>
      </c>
      <c r="H67" s="18" t="n"/>
    </row>
    <row r="68">
      <c r="F68" s="18" t="inlineStr">
        <is>
          <t>NARIYAL PANI</t>
        </is>
      </c>
      <c r="H68" s="18" t="n"/>
    </row>
    <row r="69">
      <c r="F69" s="18" t="inlineStr">
        <is>
          <t>PANIPURI</t>
        </is>
      </c>
      <c r="H69" s="18" t="n"/>
    </row>
    <row r="70">
      <c r="F70" s="18" t="inlineStr">
        <is>
          <t>COLD DRINK</t>
        </is>
      </c>
      <c r="H70" s="18" t="n"/>
    </row>
    <row r="71">
      <c r="F71" s="18" t="inlineStr">
        <is>
          <t>BUTTER</t>
        </is>
      </c>
      <c r="H71" s="18" t="n"/>
    </row>
    <row r="72">
      <c r="F72" s="18" t="inlineStr">
        <is>
          <t>CHEESE</t>
        </is>
      </c>
      <c r="H72" s="18" t="n"/>
    </row>
    <row r="73">
      <c r="F73" s="18" t="inlineStr">
        <is>
          <t>PANEER</t>
        </is>
      </c>
      <c r="H73" s="18" t="n"/>
    </row>
    <row r="74">
      <c r="F74" s="18" t="inlineStr">
        <is>
          <t>BRADE</t>
        </is>
      </c>
      <c r="H74" s="18" t="n"/>
    </row>
    <row r="75">
      <c r="F75" s="18" t="inlineStr">
        <is>
          <t>PAV BHAJI / DABELI PAV</t>
        </is>
      </c>
      <c r="H75" s="18" t="n"/>
    </row>
    <row r="76">
      <c r="F76" s="18" t="n"/>
      <c r="H76" s="18" t="n"/>
    </row>
    <row r="77">
      <c r="F77" s="18" t="n"/>
      <c r="H77" s="18" t="n"/>
    </row>
    <row r="78">
      <c r="F78" s="18" t="n"/>
      <c r="H78" s="18" t="n"/>
    </row>
    <row r="79">
      <c r="F79" s="18" t="n"/>
      <c r="H79" s="18" t="n"/>
    </row>
    <row r="80">
      <c r="F80" s="18" t="n"/>
      <c r="H80" s="18" t="n"/>
    </row>
    <row r="81">
      <c r="F81" s="18" t="n"/>
      <c r="H81" s="18" t="n"/>
    </row>
    <row r="82">
      <c r="F82" s="18" t="n"/>
      <c r="H82" s="18" t="n"/>
    </row>
    <row r="83">
      <c r="F83" s="18" t="n"/>
      <c r="H83" s="18" t="n"/>
    </row>
    <row r="84">
      <c r="F84" s="18" t="n"/>
      <c r="H84" s="18" t="n"/>
    </row>
    <row r="85">
      <c r="F85" s="18" t="n"/>
      <c r="H85" s="18" t="n"/>
    </row>
    <row r="86">
      <c r="F86" s="18" t="n"/>
      <c r="H86" s="18" t="n"/>
    </row>
    <row r="87">
      <c r="F87" s="18" t="n"/>
      <c r="H87" s="18" t="n"/>
    </row>
    <row r="88">
      <c r="F88" s="18" t="n"/>
      <c r="H88" s="18" t="n"/>
    </row>
    <row r="89">
      <c r="F89" s="18" t="n"/>
      <c r="H89" s="18" t="n"/>
    </row>
    <row r="90">
      <c r="F90" s="18" t="n"/>
      <c r="H90" s="18" t="n"/>
    </row>
    <row r="91">
      <c r="F91" s="18" t="n"/>
      <c r="H91" s="18" t="n"/>
    </row>
    <row r="92">
      <c r="F92" s="18" t="n"/>
      <c r="H92" s="18" t="n"/>
    </row>
    <row r="93">
      <c r="F93" s="18" t="n"/>
      <c r="H93" s="18" t="n"/>
    </row>
    <row r="94">
      <c r="F94" s="18" t="n"/>
      <c r="H94" s="18" t="n"/>
    </row>
    <row r="95">
      <c r="F95" s="18" t="n"/>
      <c r="H95" s="18" t="n"/>
    </row>
    <row r="96">
      <c r="F96" s="18" t="n"/>
      <c r="H96" s="18" t="n"/>
    </row>
    <row r="97">
      <c r="F97" s="18" t="n"/>
      <c r="H97" s="18" t="n"/>
    </row>
    <row r="98">
      <c r="F98" s="18" t="n"/>
      <c r="H98" s="18" t="n"/>
    </row>
    <row r="99">
      <c r="F99" s="18" t="n"/>
      <c r="H99" s="18" t="n"/>
    </row>
    <row r="100">
      <c r="F100" s="18" t="n"/>
      <c r="H100" s="18" t="n"/>
    </row>
    <row r="101">
      <c r="F101" s="18" t="n"/>
    </row>
    <row r="102">
      <c r="F102" s="18" t="n"/>
    </row>
    <row r="103">
      <c r="F103" s="18" t="n"/>
    </row>
    <row r="104">
      <c r="F104" s="18" t="n"/>
    </row>
    <row r="105">
      <c r="F105" s="18" t="n"/>
    </row>
    <row r="106">
      <c r="F106" s="18" t="n"/>
    </row>
    <row r="107">
      <c r="F107" s="18" t="n"/>
    </row>
    <row r="108">
      <c r="F108" s="18" t="n"/>
    </row>
    <row r="109">
      <c r="F109" s="18" t="n"/>
    </row>
    <row r="110">
      <c r="F110" s="18" t="n"/>
    </row>
    <row r="111">
      <c r="F111" s="18" t="n"/>
    </row>
    <row r="112">
      <c r="F112" s="18" t="n"/>
    </row>
    <row r="113">
      <c r="F113" s="18" t="n"/>
    </row>
    <row r="114">
      <c r="F114" s="18" t="n"/>
    </row>
    <row r="115">
      <c r="F115" s="18" t="n"/>
    </row>
    <row r="116">
      <c r="F116" s="18" t="n"/>
    </row>
    <row r="117">
      <c r="F117" s="18" t="n"/>
    </row>
    <row r="118">
      <c r="F118" s="18" t="n"/>
    </row>
    <row r="119">
      <c r="F119" s="18" t="n"/>
    </row>
    <row r="120">
      <c r="F120" s="18" t="n"/>
    </row>
    <row r="121">
      <c r="F121" s="18" t="n"/>
    </row>
    <row r="122">
      <c r="F122" s="18" t="n"/>
    </row>
    <row r="123">
      <c r="F123" s="18" t="n"/>
    </row>
    <row r="124">
      <c r="F124" s="18" t="n"/>
    </row>
    <row r="125">
      <c r="F125" s="18" t="n"/>
    </row>
    <row r="126">
      <c r="F126" s="18" t="n"/>
    </row>
    <row r="127">
      <c r="F127" s="18" t="n"/>
    </row>
    <row r="128">
      <c r="F128" s="18" t="n"/>
    </row>
  </sheetData>
  <mergeCells count="3">
    <mergeCell ref="A1:D1"/>
    <mergeCell ref="F1:K1"/>
    <mergeCell ref="A36:D36"/>
  </mergeCells>
  <dataValidations count="3">
    <dataValidation type="list" allowBlank="1" showInputMessage="1" showErrorMessage="1" sqref="B5:B34">
      <formula1>$F$4:$F$128</formula1>
    </dataValidation>
    <dataValidation type="list" allowBlank="1" showInputMessage="1" showErrorMessage="1" sqref="C5:C34">
      <formula1>$J$4:$J$40</formula1>
    </dataValidation>
    <dataValidation type="list" allowBlank="1" showInputMessage="1" showErrorMessage="1" sqref="D2">
      <formula1>$H$4:$H$100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2026-08-21T04:47:15Z</dcterms:created>
  <dcterms:modified xmlns:dcterms="http://purl.org/dc/terms/" xmlns:xsi="http://www.w3.org/2001/XMLSchema-instance" xsi:type="dcterms:W3CDTF">2026-08-21T04:47:15Z</dcterms:modified>
</cp:coreProperties>
</file>